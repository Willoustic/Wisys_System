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eu Drive\Carlos\Wilker\Aplicativos\Frontend\dist\Arquivos\Relatorios\MES 02 2026\NOVO H\"/>
    </mc:Choice>
  </mc:AlternateContent>
  <xr:revisionPtr revIDLastSave="0" documentId="13_ncr:1_{FD1BECC3-B76C-4C3E-B6BE-3FCBF5640EC1}" xr6:coauthVersionLast="47" xr6:coauthVersionMax="47" xr10:uidLastSave="{00000000-0000-0000-0000-000000000000}"/>
  <bookViews>
    <workbookView xWindow="-19320" yWindow="-1845" windowWidth="19440" windowHeight="15000" xr2:uid="{00000000-000D-0000-FFFF-FFFF00000000}"/>
  </bookViews>
  <sheets>
    <sheet name="Sheet1" sheetId="1" r:id="rId1"/>
    <sheet name="frota flex" sheetId="10" r:id="rId2"/>
    <sheet name="QRLINX" sheetId="8" r:id="rId3"/>
    <sheet name="PIX CIELO" sheetId="9" r:id="rId4"/>
    <sheet name="cielo" sheetId="5" r:id="rId5"/>
    <sheet name="maestro" sheetId="6" r:id="rId6"/>
    <sheet name="master" sheetId="7" r:id="rId7"/>
    <sheet name="ALELO" sheetId="4" r:id="rId8"/>
    <sheet name="VALEC" sheetId="3" r:id="rId9"/>
    <sheet name="vendas" sheetId="2" r:id="rId10"/>
  </sheets>
  <definedNames>
    <definedName name="_xlnm._FilterDatabase" localSheetId="4" hidden="1">cielo!$A$1:$J$514</definedName>
    <definedName name="_xlnm._FilterDatabase" localSheetId="5" hidden="1">maestro!$A$1:$K$174</definedName>
    <definedName name="_xlnm._FilterDatabase" localSheetId="9" hidden="1">vendas!$A$1:$C$930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10" l="1"/>
  <c r="C24" i="10"/>
  <c r="K25" i="9"/>
  <c r="K24" i="9"/>
  <c r="K23" i="9"/>
  <c r="K22" i="9"/>
  <c r="K21" i="9"/>
  <c r="K32" i="9"/>
  <c r="K31" i="9"/>
  <c r="K30" i="9"/>
  <c r="K29" i="9"/>
  <c r="K28" i="9"/>
  <c r="K27" i="9"/>
  <c r="K26" i="9"/>
  <c r="K20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K5" i="9"/>
  <c r="K4" i="9"/>
  <c r="K3" i="9"/>
  <c r="K2" i="9"/>
  <c r="H298" i="8"/>
  <c r="H297" i="8"/>
  <c r="H296" i="8"/>
  <c r="H295" i="8"/>
  <c r="H294" i="8"/>
  <c r="H293" i="8"/>
  <c r="H292" i="8"/>
  <c r="H291" i="8"/>
  <c r="H290" i="8"/>
  <c r="H289" i="8"/>
  <c r="H288" i="8"/>
  <c r="H287" i="8"/>
  <c r="H286" i="8"/>
  <c r="H285" i="8"/>
  <c r="H284" i="8"/>
  <c r="H283" i="8"/>
  <c r="H282" i="8"/>
  <c r="H281" i="8"/>
  <c r="H280" i="8"/>
  <c r="H279" i="8"/>
  <c r="H278" i="8"/>
  <c r="H277" i="8"/>
  <c r="H276" i="8"/>
  <c r="H275" i="8"/>
  <c r="H274" i="8"/>
  <c r="H273" i="8"/>
  <c r="H272" i="8"/>
  <c r="H271" i="8"/>
  <c r="H270" i="8"/>
  <c r="H269" i="8"/>
  <c r="H268" i="8"/>
  <c r="H267" i="8"/>
  <c r="H266" i="8"/>
  <c r="H265" i="8"/>
  <c r="H264" i="8"/>
  <c r="H263" i="8"/>
  <c r="H262" i="8"/>
  <c r="H261" i="8"/>
  <c r="H260" i="8"/>
  <c r="H259" i="8"/>
  <c r="H258" i="8"/>
  <c r="H257" i="8"/>
  <c r="H256" i="8"/>
  <c r="H255" i="8"/>
  <c r="H254" i="8"/>
  <c r="H253" i="8"/>
  <c r="H252" i="8"/>
  <c r="H251" i="8"/>
  <c r="H250" i="8"/>
  <c r="H249" i="8"/>
  <c r="H248" i="8"/>
  <c r="H247" i="8"/>
  <c r="H246" i="8"/>
  <c r="H245" i="8"/>
  <c r="H244" i="8"/>
  <c r="H243" i="8"/>
  <c r="H242" i="8"/>
  <c r="H241" i="8"/>
  <c r="H240" i="8"/>
  <c r="H239" i="8"/>
  <c r="H238" i="8"/>
  <c r="H237" i="8"/>
  <c r="H236" i="8"/>
  <c r="H235" i="8"/>
  <c r="H234" i="8"/>
  <c r="H233" i="8"/>
  <c r="H232" i="8"/>
  <c r="H231" i="8"/>
  <c r="H230" i="8"/>
  <c r="H229" i="8"/>
  <c r="H228" i="8"/>
  <c r="H227" i="8"/>
  <c r="H226" i="8"/>
  <c r="H225" i="8"/>
  <c r="H224" i="8"/>
  <c r="H223" i="8"/>
  <c r="H222" i="8"/>
  <c r="H221" i="8"/>
  <c r="H220" i="8"/>
  <c r="H219" i="8"/>
  <c r="H218" i="8"/>
  <c r="H217" i="8"/>
  <c r="H216" i="8"/>
  <c r="H215" i="8"/>
  <c r="H214" i="8"/>
  <c r="H213" i="8"/>
  <c r="H212" i="8"/>
  <c r="H211" i="8"/>
  <c r="H210" i="8"/>
  <c r="H209" i="8"/>
  <c r="H208" i="8"/>
  <c r="H207" i="8"/>
  <c r="H206" i="8"/>
  <c r="H205" i="8"/>
  <c r="H204" i="8"/>
  <c r="H203" i="8"/>
  <c r="H202" i="8"/>
  <c r="H201" i="8"/>
  <c r="H200" i="8"/>
  <c r="H199" i="8"/>
  <c r="H198" i="8"/>
  <c r="H197" i="8"/>
  <c r="H196" i="8"/>
  <c r="H195" i="8"/>
  <c r="H194" i="8"/>
  <c r="H193" i="8"/>
  <c r="H192" i="8"/>
  <c r="H191" i="8"/>
  <c r="H190" i="8"/>
  <c r="H189" i="8"/>
  <c r="H188" i="8"/>
  <c r="H187" i="8"/>
  <c r="H186" i="8"/>
  <c r="H185" i="8"/>
  <c r="H184" i="8"/>
  <c r="H183" i="8"/>
  <c r="H182" i="8"/>
  <c r="H181" i="8"/>
  <c r="H180" i="8"/>
  <c r="H179" i="8"/>
  <c r="H178" i="8"/>
  <c r="H177" i="8"/>
  <c r="H176" i="8"/>
  <c r="H175" i="8"/>
  <c r="H174" i="8"/>
  <c r="H173" i="8"/>
  <c r="H172" i="8"/>
  <c r="H171" i="8"/>
  <c r="H170" i="8"/>
  <c r="H169" i="8"/>
  <c r="H168" i="8"/>
  <c r="H167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42" i="8"/>
  <c r="H141" i="8"/>
  <c r="H140" i="8"/>
  <c r="H139" i="8"/>
  <c r="H138" i="8"/>
  <c r="H137" i="8"/>
  <c r="H136" i="8"/>
  <c r="H135" i="8"/>
  <c r="H134" i="8"/>
  <c r="H133" i="8"/>
  <c r="H132" i="8"/>
  <c r="H131" i="8"/>
  <c r="H130" i="8"/>
  <c r="H129" i="8"/>
  <c r="H128" i="8"/>
  <c r="H127" i="8"/>
  <c r="H126" i="8"/>
  <c r="H125" i="8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100" i="8"/>
  <c r="H99" i="8"/>
  <c r="H98" i="8"/>
  <c r="H97" i="8"/>
  <c r="H96" i="8"/>
  <c r="H95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2" i="8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  <c r="H174" i="6"/>
  <c r="H173" i="6"/>
  <c r="H172" i="6"/>
  <c r="H171" i="6"/>
  <c r="H170" i="6"/>
  <c r="H169" i="6"/>
  <c r="H168" i="6"/>
  <c r="H167" i="6"/>
  <c r="H166" i="6"/>
  <c r="H165" i="6"/>
  <c r="H164" i="6"/>
  <c r="H163" i="6"/>
  <c r="H162" i="6"/>
  <c r="H161" i="6"/>
  <c r="H160" i="6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H141" i="6"/>
  <c r="H140" i="6"/>
  <c r="H139" i="6"/>
  <c r="H138" i="6"/>
  <c r="H137" i="6"/>
  <c r="H136" i="6"/>
  <c r="H135" i="6"/>
  <c r="H134" i="6"/>
  <c r="H133" i="6"/>
  <c r="H132" i="6"/>
  <c r="H131" i="6"/>
  <c r="H130" i="6"/>
  <c r="H129" i="6"/>
  <c r="H128" i="6"/>
  <c r="H127" i="6"/>
  <c r="H126" i="6"/>
  <c r="H125" i="6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C13" i="1"/>
  <c r="D10" i="1"/>
  <c r="E10" i="1" s="1"/>
  <c r="F13" i="3"/>
  <c r="C16" i="1"/>
  <c r="C21" i="1" s="1"/>
  <c r="D15" i="1"/>
  <c r="E15" i="1" s="1"/>
  <c r="D14" i="1"/>
  <c r="E14" i="1" s="1"/>
  <c r="D13" i="1"/>
  <c r="D12" i="1"/>
  <c r="E12" i="1" s="1"/>
  <c r="D11" i="1"/>
  <c r="E11" i="1" s="1"/>
  <c r="D9" i="1"/>
  <c r="E9" i="1" s="1"/>
  <c r="D8" i="1"/>
  <c r="E8" i="1" s="1"/>
  <c r="D7" i="1"/>
  <c r="E7" i="1" s="1"/>
  <c r="D6" i="1"/>
  <c r="E6" i="1" s="1"/>
  <c r="D5" i="1"/>
  <c r="E5" i="1" s="1"/>
  <c r="D4" i="1"/>
  <c r="E4" i="1" s="1"/>
  <c r="D3" i="1"/>
  <c r="E3" i="1" s="1"/>
  <c r="D2" i="1"/>
  <c r="E13" i="1" l="1"/>
  <c r="E2" i="1"/>
</calcChain>
</file>

<file path=xl/sharedStrings.xml><?xml version="1.0" encoding="utf-8"?>
<sst xmlns="http://schemas.openxmlformats.org/spreadsheetml/2006/main" count="6606" uniqueCount="1232">
  <si>
    <t>cod_pessoa</t>
  </si>
  <si>
    <t>nom_pessoa</t>
  </si>
  <si>
    <t>val_duplicata</t>
  </si>
  <si>
    <t>Total bancos</t>
  </si>
  <si>
    <t>DIF</t>
  </si>
  <si>
    <t>Stone</t>
  </si>
  <si>
    <t>Cielo</t>
  </si>
  <si>
    <t>Sites</t>
  </si>
  <si>
    <t>CARTAO ALELO AUTO</t>
  </si>
  <si>
    <t>CARTAO AMERICAN EXPRESS</t>
  </si>
  <si>
    <t>CARTAO CIELO ELO CREDITO</t>
  </si>
  <si>
    <t>CARTAO CIELO ELO DEBITO</t>
  </si>
  <si>
    <t>CARTAO FANCARD</t>
  </si>
  <si>
    <t>CARTAO MAESTRO</t>
  </si>
  <si>
    <t>CARTAO MASTERCARD</t>
  </si>
  <si>
    <t>CARTAO PIX</t>
  </si>
  <si>
    <t>CARTAO VALECARD</t>
  </si>
  <si>
    <t>CARTAO VISA CREDITO</t>
  </si>
  <si>
    <t>CARTAO VISA DEBITO</t>
  </si>
  <si>
    <t>SODEXO PASS DO BRASIL SERVICOS E COMERCIO S.A.</t>
  </si>
  <si>
    <t>STONE INSTITUICAO DE PAGAMENTO S.A</t>
  </si>
  <si>
    <t>TICKET SOLUCOES HDFGT SA</t>
  </si>
  <si>
    <t>ALEF FELLYPE NERY DE OLIVEIRA</t>
  </si>
  <si>
    <t>DIONE RIBEIRO</t>
  </si>
  <si>
    <t>JANAELSON VICTORINO DE SOUZA</t>
  </si>
  <si>
    <t>JOAO VICTOR DA SILVA DE MELO</t>
  </si>
  <si>
    <t>JOSE DE ANCHIETA PEREIRA FRANCISCO</t>
  </si>
  <si>
    <t>JOSENILDO DE SOUZA LISBOA</t>
  </si>
  <si>
    <t>KLEYTON PINHEIRO DA SILVA</t>
  </si>
  <si>
    <t>LENIVAL CAVALCANTE DA SILVA</t>
  </si>
  <si>
    <t>MATHEUS MENDES DE MELO</t>
  </si>
  <si>
    <t>MIGUEL ALBENES DA ROCHA</t>
  </si>
  <si>
    <t>RENATO DOMINGOS DE LIMA</t>
  </si>
  <si>
    <t>des_forma_pagto</t>
  </si>
  <si>
    <t>DINHEIRO</t>
  </si>
  <si>
    <t>QRLinx - PIX</t>
  </si>
  <si>
    <t>TEF - ELO CREDITO</t>
  </si>
  <si>
    <t>TEF - ELO DEBITO</t>
  </si>
  <si>
    <t>TEF - MAESTRO</t>
  </si>
  <si>
    <t>TEF - MASTERCARD</t>
  </si>
  <si>
    <t>TEF - VISA CREDITO</t>
  </si>
  <si>
    <t>TEF - VISA DEBITO</t>
  </si>
  <si>
    <t>NOTA A PRAZO</t>
  </si>
  <si>
    <t>POS - CIELO PIX</t>
  </si>
  <si>
    <t>POS - GOODCARD</t>
  </si>
  <si>
    <t>POS - MAESTRO</t>
  </si>
  <si>
    <t>POS - MASTERCARD</t>
  </si>
  <si>
    <t>POS - VISA DEBITO</t>
  </si>
  <si>
    <t>SODEXO POS</t>
  </si>
  <si>
    <t>TEF - GOOD CARD</t>
  </si>
  <si>
    <t>TEF - VALECARD CREDITO</t>
  </si>
  <si>
    <t>POS - ALELO</t>
  </si>
  <si>
    <t>POS - CIELO DEBITO</t>
  </si>
  <si>
    <t>TEF - FANCARD</t>
  </si>
  <si>
    <t>POS - VALECARD</t>
  </si>
  <si>
    <t>TEF - SODEXO</t>
  </si>
  <si>
    <t>TEF - AMERICAN EXP</t>
  </si>
  <si>
    <t>val_pagamento</t>
  </si>
  <si>
    <t>CARTOES</t>
  </si>
  <si>
    <t>DEPOSITOS</t>
  </si>
  <si>
    <t>DIF DE CAIXA</t>
  </si>
  <si>
    <t>NOTAS A PRAZO</t>
  </si>
  <si>
    <t>SANGRIAS</t>
  </si>
  <si>
    <t>TOTAL</t>
  </si>
  <si>
    <t>Código de autorização</t>
  </si>
  <si>
    <t>Valor</t>
  </si>
  <si>
    <t>0/0</t>
  </si>
  <si>
    <t>VENDA - CARTÃO COMBUSTÍVEL</t>
  </si>
  <si>
    <t>FRANCISCO LUCAS DE ALMEIDA</t>
  </si>
  <si>
    <t>LEONARDO TEIXEIRA DE LIMA</t>
  </si>
  <si>
    <t>VENDA - CARTÃO FROTA</t>
  </si>
  <si>
    <t>MOBI</t>
  </si>
  <si>
    <t>NEOBUS</t>
  </si>
  <si>
    <t>KWID ZEN 2</t>
  </si>
  <si>
    <t>BROS 160</t>
  </si>
  <si>
    <t>PETRONIO MARCUS DE MEDEIROS</t>
  </si>
  <si>
    <t>ROBSON DIEGO FERNANDES MOREIRA FILHO</t>
  </si>
  <si>
    <t>SAVEIRO</t>
  </si>
  <si>
    <t>Data da venda</t>
  </si>
  <si>
    <t>Hora da venda</t>
  </si>
  <si>
    <t>Estabelecimento</t>
  </si>
  <si>
    <t>Forma de pagamento</t>
  </si>
  <si>
    <t>Bandeira</t>
  </si>
  <si>
    <t>Parceiro</t>
  </si>
  <si>
    <t>Valor bruto</t>
  </si>
  <si>
    <t>Auto</t>
  </si>
  <si>
    <t>Alelo</t>
  </si>
  <si>
    <t>Débito à vista</t>
  </si>
  <si>
    <t>NSU/DOC</t>
  </si>
  <si>
    <t>Origem do valor</t>
  </si>
  <si>
    <t>Documento de origem</t>
  </si>
  <si>
    <t>Instituição de origem</t>
  </si>
  <si>
    <t>Pix</t>
  </si>
  <si>
    <t>RICKSON FERNANDO LOPES</t>
  </si>
  <si>
    <t>***.935.074-**</t>
  </si>
  <si>
    <t>BCO BRADESCO S.A.</t>
  </si>
  <si>
    <t>Daniel da Silva Costa</t>
  </si>
  <si>
    <t>***.241.544-**</t>
  </si>
  <si>
    <t>NU PAGAMENTOS - IP</t>
  </si>
  <si>
    <t>Valter Gomes De França</t>
  </si>
  <si>
    <t>***.705.644-**</t>
  </si>
  <si>
    <t>PICPAY</t>
  </si>
  <si>
    <t>Margarida Ferreira Da Silva Pacheco</t>
  </si>
  <si>
    <t>***.072.091-**</t>
  </si>
  <si>
    <t>STONE IP S.A.</t>
  </si>
  <si>
    <t>59.311.808 ALEX DA SILVA</t>
  </si>
  <si>
    <t>59.311.808/0001-32</t>
  </si>
  <si>
    <t>Ivanildo Ribeiro Matos</t>
  </si>
  <si>
    <t>***.726.884-**</t>
  </si>
  <si>
    <t>KACIO VICTOR DE SOUZA</t>
  </si>
  <si>
    <t>***.235.334-**</t>
  </si>
  <si>
    <t>LILIAN MEDEIROS BARACHO</t>
  </si>
  <si>
    <t>***.448.934-**</t>
  </si>
  <si>
    <t>CAIXA ECONOMICA FEDERAL</t>
  </si>
  <si>
    <t>JOAO PAULO SILVA NASCIMENTO</t>
  </si>
  <si>
    <t>***.090.854-**</t>
  </si>
  <si>
    <t>ERIKE SILVA DOS SANTOS</t>
  </si>
  <si>
    <t>***.835.014-**</t>
  </si>
  <si>
    <t>Cristiane de Souza Silva</t>
  </si>
  <si>
    <t>***.911.444-**</t>
  </si>
  <si>
    <t>MERCADO PAGO IP LTDA.</t>
  </si>
  <si>
    <t>62.213.094 JARLENE DA SILVA PEREIRA</t>
  </si>
  <si>
    <t>62.213.094/0001-34</t>
  </si>
  <si>
    <t>Andriely Vitória Freitas da Silva</t>
  </si>
  <si>
    <t>***.625.374-**</t>
  </si>
  <si>
    <t>Maxwell Ramalho Dos Santos</t>
  </si>
  <si>
    <t>***.582.574-**</t>
  </si>
  <si>
    <t>Lucas Gabriel Nunes da Silva Faustino</t>
  </si>
  <si>
    <t>***.929.964-**</t>
  </si>
  <si>
    <t>JOSIMAR SOARES DA SILVA JUNIOR</t>
  </si>
  <si>
    <t>***.488.934-**</t>
  </si>
  <si>
    <t>CLOUDWALK IP LTDA</t>
  </si>
  <si>
    <t>CLENILDO TOMAZ DA SILVA CHACON</t>
  </si>
  <si>
    <t>***.633.064-**</t>
  </si>
  <si>
    <t>BCO SANTANDER (BRASIL) S.A.</t>
  </si>
  <si>
    <t>Fabio Cavalcante de Melo</t>
  </si>
  <si>
    <t>***.526.544-**</t>
  </si>
  <si>
    <t>Ivanaldo Ferreira Pires</t>
  </si>
  <si>
    <t>***.043.704-**</t>
  </si>
  <si>
    <t>Joan Jefferson dos Santos</t>
  </si>
  <si>
    <t>***.025.844-**</t>
  </si>
  <si>
    <t>Anderson da Silva Mendes</t>
  </si>
  <si>
    <t>***.087.784-**</t>
  </si>
  <si>
    <t>SAULO SAVIO BEZERRA FERNANDES FILHO</t>
  </si>
  <si>
    <t>***.518.984-**</t>
  </si>
  <si>
    <t>Joao Marcos Amador Garcia Alves</t>
  </si>
  <si>
    <t>***.655.844-**</t>
  </si>
  <si>
    <t>Fabio Nunes da silva</t>
  </si>
  <si>
    <t>***.681.234-**</t>
  </si>
  <si>
    <t>Eric Victor Dantas da Silva</t>
  </si>
  <si>
    <t>***.333.524-**</t>
  </si>
  <si>
    <t>Gabriel Rodrigues Martins</t>
  </si>
  <si>
    <t>***.494.354-**</t>
  </si>
  <si>
    <t>Israel Batista Dantas do Nascimento</t>
  </si>
  <si>
    <t>***.123.624-**</t>
  </si>
  <si>
    <t>Evandro Lima de Miranda</t>
  </si>
  <si>
    <t>***.074.424-**</t>
  </si>
  <si>
    <t>GERALDO CARVALHO OLIVEIRA NETO</t>
  </si>
  <si>
    <t>***.058.754-**</t>
  </si>
  <si>
    <t>ITAÚ UNIBANCO S.A.</t>
  </si>
  <si>
    <t>monasses do nascimento oliveira</t>
  </si>
  <si>
    <t>***.841.924-**</t>
  </si>
  <si>
    <t>PAGSEGURO INTERNET IP S.A.</t>
  </si>
  <si>
    <t>Kleyton Roberto da Silva</t>
  </si>
  <si>
    <t>***.832.354-**</t>
  </si>
  <si>
    <t>ASAAS IP S.A.</t>
  </si>
  <si>
    <t>Visa</t>
  </si>
  <si>
    <t>Débito pré-pago</t>
  </si>
  <si>
    <t>7QJE7P</t>
  </si>
  <si>
    <t>ENXDWN</t>
  </si>
  <si>
    <t>C6GYOD</t>
  </si>
  <si>
    <t>UFP315</t>
  </si>
  <si>
    <t>LAYUOH</t>
  </si>
  <si>
    <t>1TDS62</t>
  </si>
  <si>
    <t>KW4IOK</t>
  </si>
  <si>
    <t>3OH9NG</t>
  </si>
  <si>
    <t>A3B2KY</t>
  </si>
  <si>
    <t>6A5BDJ</t>
  </si>
  <si>
    <t>NW6FSS</t>
  </si>
  <si>
    <t>Q1H5TS</t>
  </si>
  <si>
    <t>N9MNO2</t>
  </si>
  <si>
    <t>6T4UDF</t>
  </si>
  <si>
    <t>7HM7F4</t>
  </si>
  <si>
    <t>MKYJFF</t>
  </si>
  <si>
    <t>Mastercard</t>
  </si>
  <si>
    <t>HY88Hs</t>
  </si>
  <si>
    <t>01AqOq</t>
  </si>
  <si>
    <t>sLb97x</t>
  </si>
  <si>
    <t>Jpbych</t>
  </si>
  <si>
    <t>M57248</t>
  </si>
  <si>
    <t>goxMh1</t>
  </si>
  <si>
    <t>qaxad6</t>
  </si>
  <si>
    <t>2vZbav</t>
  </si>
  <si>
    <t>S0pfDp</t>
  </si>
  <si>
    <t>M63211</t>
  </si>
  <si>
    <t>v4YeDI</t>
  </si>
  <si>
    <t>1PDDEV</t>
  </si>
  <si>
    <t>M93704</t>
  </si>
  <si>
    <t>t0jQie</t>
  </si>
  <si>
    <t>Elo</t>
  </si>
  <si>
    <t>SMQMZN</t>
  </si>
  <si>
    <t>zh0bm2</t>
  </si>
  <si>
    <t>q0DdrC</t>
  </si>
  <si>
    <t>M35487</t>
  </si>
  <si>
    <t>i1YMEL</t>
  </si>
  <si>
    <t>YZB53I</t>
  </si>
  <si>
    <t>tR2hQL</t>
  </si>
  <si>
    <t>hCdRTJ</t>
  </si>
  <si>
    <t>M84944</t>
  </si>
  <si>
    <t>BqLOav</t>
  </si>
  <si>
    <t>flSeIC</t>
  </si>
  <si>
    <t>2adWVh</t>
  </si>
  <si>
    <t>M77904</t>
  </si>
  <si>
    <t>M53062</t>
  </si>
  <si>
    <t>M83881</t>
  </si>
  <si>
    <t>NKoMsL</t>
  </si>
  <si>
    <t>DFHZ9G</t>
  </si>
  <si>
    <t>FW1i0d</t>
  </si>
  <si>
    <t>jaTxhA</t>
  </si>
  <si>
    <t>M63731</t>
  </si>
  <si>
    <t>M08996</t>
  </si>
  <si>
    <t>M40688</t>
  </si>
  <si>
    <t>At94ld</t>
  </si>
  <si>
    <t>6DMDfk</t>
  </si>
  <si>
    <t>eu9JSq</t>
  </si>
  <si>
    <t>M76341</t>
  </si>
  <si>
    <t>BY4DbB</t>
  </si>
  <si>
    <t>YKYD54</t>
  </si>
  <si>
    <t>5hTbGa</t>
  </si>
  <si>
    <t>Xg7iq0</t>
  </si>
  <si>
    <t>mMjDFH</t>
  </si>
  <si>
    <t>M52720</t>
  </si>
  <si>
    <t>n0E26z</t>
  </si>
  <si>
    <t>t0fafi</t>
  </si>
  <si>
    <t>TVj9GG</t>
  </si>
  <si>
    <t>rWaIBb</t>
  </si>
  <si>
    <t>Crédito à vista</t>
  </si>
  <si>
    <t>27D367</t>
  </si>
  <si>
    <t>A21XHJ</t>
  </si>
  <si>
    <t>9SXMZU</t>
  </si>
  <si>
    <t>1AV9SI</t>
  </si>
  <si>
    <t>2AH16G</t>
  </si>
  <si>
    <t>EK356W</t>
  </si>
  <si>
    <t>QG4JA3</t>
  </si>
  <si>
    <t>4KYV3N</t>
  </si>
  <si>
    <t>CX1OAO</t>
  </si>
  <si>
    <t>R19329</t>
  </si>
  <si>
    <t>2J7S2I</t>
  </si>
  <si>
    <t>R53667</t>
  </si>
  <si>
    <t>Crédito pré-pago</t>
  </si>
  <si>
    <t>QJSRDQ</t>
  </si>
  <si>
    <t>R35523</t>
  </si>
  <si>
    <t>AO5HPZ</t>
  </si>
  <si>
    <t>R98442</t>
  </si>
  <si>
    <t>UMRHSK</t>
  </si>
  <si>
    <t>S8FBXD</t>
  </si>
  <si>
    <t>C1SYO2</t>
  </si>
  <si>
    <t>R45082</t>
  </si>
  <si>
    <t>JN5VRE</t>
  </si>
  <si>
    <t>R37236</t>
  </si>
  <si>
    <t>E80B83</t>
  </si>
  <si>
    <t>CSEKQ3</t>
  </si>
  <si>
    <t>R46235</t>
  </si>
  <si>
    <t>R08229</t>
  </si>
  <si>
    <t>R01849</t>
  </si>
  <si>
    <t>R73393</t>
  </si>
  <si>
    <t>American Express</t>
  </si>
  <si>
    <t>dif</t>
  </si>
  <si>
    <t>Data Autorização</t>
  </si>
  <si>
    <t>Hora Autorização</t>
  </si>
  <si>
    <t>PaymentId</t>
  </si>
  <si>
    <t>Status Qr</t>
  </si>
  <si>
    <t>TransactionId</t>
  </si>
  <si>
    <t>IdEndToEnd (Comprovante)</t>
  </si>
  <si>
    <t>b34b365c-64e9-4a47-a58f-1b9d0ad35502</t>
  </si>
  <si>
    <t>Confirmado</t>
  </si>
  <si>
    <t>ch_LqG3RQ6sQF62DX1n</t>
  </si>
  <si>
    <t>E00416968202602270243dPxS8ySdtSn</t>
  </si>
  <si>
    <t>050ac1b8-23ed-48dd-a06e-60c55c0d9282</t>
  </si>
  <si>
    <t>ch_YmEl2w3FVjhpOPKr</t>
  </si>
  <si>
    <t>E18236120202602270242s12cbf0875f</t>
  </si>
  <si>
    <t>3f9308cd-d1f6-4dc9-a4d3-cb3d5ce98d5f</t>
  </si>
  <si>
    <t>ch_ylgVG6YoIwfWzPK5</t>
  </si>
  <si>
    <t>E18189547202602270230RCehlQdDGC8</t>
  </si>
  <si>
    <t>971c4242-74f2-4955-8c31-7155c25bf89b</t>
  </si>
  <si>
    <t>ch_a8RO86FvYsZegk1N</t>
  </si>
  <si>
    <t>E22896431202602270221IO8ky0IBLmd</t>
  </si>
  <si>
    <t>c5ba8527-5c38-4efc-95a4-b0deaf662832</t>
  </si>
  <si>
    <t>ch_N9aW9jfr3tqXwrZd</t>
  </si>
  <si>
    <t>E18236120202602270218s121a13543a</t>
  </si>
  <si>
    <t>a2737233-6bb6-4e80-8f10-4685050ba3ab</t>
  </si>
  <si>
    <t>ch_6gBXGa4sAzF46dL2</t>
  </si>
  <si>
    <t>E9040088820260227021656521613687</t>
  </si>
  <si>
    <t>aaf3d47b-3d7d-44a3-9d84-5d96b7562506</t>
  </si>
  <si>
    <t>ch_AjlOJn4NHoCA9P5V</t>
  </si>
  <si>
    <t>E0036030520260227021360584e4d5a5</t>
  </si>
  <si>
    <t>6b1bb93a-f69e-4923-95b0-98de9d28e1f9</t>
  </si>
  <si>
    <t>ch_DlJL5r8Hy1u7BzpX</t>
  </si>
  <si>
    <t>E9040088820260227021056521451846</t>
  </si>
  <si>
    <t>450e5bcc-7842-4cf6-91d3-f12a6995eabe</t>
  </si>
  <si>
    <t>ch_EWa3VPVi9t75rwj2</t>
  </si>
  <si>
    <t>E00416968202602270208QVOKG73YniQ</t>
  </si>
  <si>
    <t>339767af-411a-4322-b02a-2cdf6cd08f0f</t>
  </si>
  <si>
    <t>ch_83rlJDWCwcOO05Zq</t>
  </si>
  <si>
    <t>E22896431202602270203LjhXNzktU7q</t>
  </si>
  <si>
    <t>f10ff2e5-2d4b-4587-9d2a-62330ba02677</t>
  </si>
  <si>
    <t>ch_yzVmnENI9uZ48XLD</t>
  </si>
  <si>
    <t>E00416968202602270203GzQMQJNTwT5</t>
  </si>
  <si>
    <t>c9ff5cc8-29de-4676-8467-0a4fe29bd39a</t>
  </si>
  <si>
    <t>ch_OkYzpb8cYAuq28L7</t>
  </si>
  <si>
    <t>E1650155520260227015760dbd2ab86d</t>
  </si>
  <si>
    <t>02ca4b39-f219-4295-b18f-a747e9d3f3d4</t>
  </si>
  <si>
    <t>ch_8GpzBDOt74ckX4w9</t>
  </si>
  <si>
    <t>E00416968202602270144kL2sQVAmVL5</t>
  </si>
  <si>
    <t>7ea12f44-b5ee-4020-ad5c-01a7e2fe793a</t>
  </si>
  <si>
    <t>ch_5v8dmQ7hEPfoedDQ</t>
  </si>
  <si>
    <t>E003603052026022701310ed3f62c4ac</t>
  </si>
  <si>
    <t>d30d5c9b-64bd-479d-8b1c-7bf97bd22016</t>
  </si>
  <si>
    <t>ch_L0zmPgXhPKcZObWn</t>
  </si>
  <si>
    <t>E18236120202602270130s0114d59b85</t>
  </si>
  <si>
    <t>9de9d3b8-a520-4a58-bed3-21bf691c6e6a</t>
  </si>
  <si>
    <t>ch_bpxQWODZhdh4z6kJ</t>
  </si>
  <si>
    <t>E003603052026022701233d57ddf4b1d</t>
  </si>
  <si>
    <t>68925ee8-31f0-4d61-90ba-82aabc871a9e</t>
  </si>
  <si>
    <t>ch_oK6Ryo6sOoHeVOMA</t>
  </si>
  <si>
    <t>E9040088820260227012056519885677</t>
  </si>
  <si>
    <t>36148eb9-504e-4b3a-a77a-41ede1c20a60</t>
  </si>
  <si>
    <t>ch_j7r5wmuA0F1vgYBO</t>
  </si>
  <si>
    <t>E31872495202602270114Gok6vsZGPp7</t>
  </si>
  <si>
    <t>5a8b32bc-a01c-4a54-b258-612ebf1b8178</t>
  </si>
  <si>
    <t>ch_vKXo1BLESAiXpGka</t>
  </si>
  <si>
    <t>E9040088820260227010756519381334</t>
  </si>
  <si>
    <t>40974777-bb9b-4a05-bf1b-c04d12073312</t>
  </si>
  <si>
    <t>ch_amd868ai0f8Zz7ge</t>
  </si>
  <si>
    <t>E18236120202602270106s123380f1a6</t>
  </si>
  <si>
    <t>ec40ea6a-d94b-4e6f-8958-5f81902bdce0</t>
  </si>
  <si>
    <t>ch_xDvXw0pcmgf5lRKP</t>
  </si>
  <si>
    <t>E18236120202602270105s17d9689e8d</t>
  </si>
  <si>
    <t>ddbb116b-3bcb-40fd-a094-d47d94e72f8d</t>
  </si>
  <si>
    <t>ch_PK49ekXFBXTmBoRp</t>
  </si>
  <si>
    <t>E195405502026022701036M421XIDURQ</t>
  </si>
  <si>
    <t>62750c5e-b377-46f8-9a54-b3f960bfc78e</t>
  </si>
  <si>
    <t>ch_ZRWoYK1HGSb5pE2K</t>
  </si>
  <si>
    <t>E22896431202602270056R00WAWgdGIG</t>
  </si>
  <si>
    <t>81eb5df0-ade4-4d2b-95ea-2a401a555c98</t>
  </si>
  <si>
    <t>ch_q4m7AaNXUqS4gM0V</t>
  </si>
  <si>
    <t>E00360305202602270034d06b3a07c79</t>
  </si>
  <si>
    <t>c1fe4d57-f098-4676-b3c6-ecdb49fc668c</t>
  </si>
  <si>
    <t>ch_PZmQneEc2RhXgdO7</t>
  </si>
  <si>
    <t>E20855875202602270026RLEIWZU8T8P</t>
  </si>
  <si>
    <t>196128dd-281c-4918-b8ff-2acefd6853aa</t>
  </si>
  <si>
    <t>ch_2W96v94U9Pfan5rQ</t>
  </si>
  <si>
    <t>E0856170120260227002466ZE7HKEYWA</t>
  </si>
  <si>
    <t>8003473b-2647-46e2-b149-10e73844dfe3</t>
  </si>
  <si>
    <t>ch_drJBWaei4NfZ7PKq</t>
  </si>
  <si>
    <t>E27098060202602270022lhlZNWwXKHE</t>
  </si>
  <si>
    <t>76953bb0-9442-4b3c-8204-587082d58e91</t>
  </si>
  <si>
    <t>ch_O4eRpnOHz8H4QZP9</t>
  </si>
  <si>
    <t>E60701190202602270020DY5EGWM26S8</t>
  </si>
  <si>
    <t>9665502a-1a4d-4d6a-b797-dfc98d04e31a</t>
  </si>
  <si>
    <t>ch_Y24MN6LCLsVwmoWz</t>
  </si>
  <si>
    <t>E18236120202602270020s159704d096</t>
  </si>
  <si>
    <t>3cb23e3a-b8b1-4451-b96e-39208711e1c8</t>
  </si>
  <si>
    <t>ch_2oavK5LiMCR01lyE</t>
  </si>
  <si>
    <t>E00416968202602270017XqSom7Pgisa</t>
  </si>
  <si>
    <t>6e13dd45-c948-4de1-8f85-b74316bc09c7</t>
  </si>
  <si>
    <t>ch_JoxE1o5fDKFwVRed</t>
  </si>
  <si>
    <t>E08561701202602270016MWVZ9D5BEQG</t>
  </si>
  <si>
    <t>29e6fb67-9e87-4de5-98f4-fc645e194674</t>
  </si>
  <si>
    <t>ch_xER8pDbfDmF08Mkj</t>
  </si>
  <si>
    <t>E18236120202602270013s167b3afa31</t>
  </si>
  <si>
    <t>0de1b06c-be09-4e3f-b175-0ba4f5e186d9</t>
  </si>
  <si>
    <t>ch_WLN1XmwTpspdBQKa</t>
  </si>
  <si>
    <t>E18236120202602270008s168234bc48</t>
  </si>
  <si>
    <t>b693a134-86c6-4c93-b3da-236b65c08ef8</t>
  </si>
  <si>
    <t>ch_XRvgkB0I8CzLDLGN</t>
  </si>
  <si>
    <t>E165015552026022700079ef99fa6a99</t>
  </si>
  <si>
    <t>15ad1422-d3b6-4968-9e89-a98c0eef4ed6</t>
  </si>
  <si>
    <t>ch_67xgrkwF7YIVldGy</t>
  </si>
  <si>
    <t>E0000000020260226234859927804850</t>
  </si>
  <si>
    <t>1431d7a7-0bba-4ddf-bae7-016a2b9b7122</t>
  </si>
  <si>
    <t>ch_1XB2GBGsdho7K3lP</t>
  </si>
  <si>
    <t>E18236120202602262335s191ae8124e</t>
  </si>
  <si>
    <t>d8b9d0aa-672b-4f1a-a114-8b0be0c0ae96</t>
  </si>
  <si>
    <t>ch_lpGEpjFeqiGpmDYQ</t>
  </si>
  <si>
    <t>E27098060202602262334oZQicTe0AXo</t>
  </si>
  <si>
    <t>a6f61813-166f-4a50-81ef-20be7cc4735c</t>
  </si>
  <si>
    <t>ch_BOaA25qILEfVj0zp</t>
  </si>
  <si>
    <t>E18236120202602262325s13e21f2794</t>
  </si>
  <si>
    <t>982fa422-7b9d-4de7-b967-e2dee8e52852</t>
  </si>
  <si>
    <t>ch_9jkvakNCBHpYeGdr</t>
  </si>
  <si>
    <t>E18236120202602262324s1216e75ee7</t>
  </si>
  <si>
    <t>a9029aa2-65e3-417e-93e1-691df745e64e</t>
  </si>
  <si>
    <t>ch_Qb8pq8KUK8udJWB7</t>
  </si>
  <si>
    <t>E18236120202602262308s1732d0b960</t>
  </si>
  <si>
    <t>3138bf5c-d81b-4646-b85b-9e128c0ac997</t>
  </si>
  <si>
    <t>ch_kGmjp748cVtgJdw4</t>
  </si>
  <si>
    <t>E27098060202602262301Q9wf5hCcTSV</t>
  </si>
  <si>
    <t>8296505e-3cdd-4b7b-b4a0-e5dbd5a8a986</t>
  </si>
  <si>
    <t>ch_eYDQzA0hkHWrLr6X</t>
  </si>
  <si>
    <t>E003603052026022623004ca5431230e</t>
  </si>
  <si>
    <t>526dd3a6-dc25-44a0-ab7f-c03e08e8c68a</t>
  </si>
  <si>
    <t>ch_PyRN78jpTeCNBOjq</t>
  </si>
  <si>
    <t>E22896431202602262250J1jVtPjuo7M</t>
  </si>
  <si>
    <t>33eb054f-6b3a-42ed-a34a-8db74ffd474a</t>
  </si>
  <si>
    <t>ch_Xg2GrjwsWuA5GyrA</t>
  </si>
  <si>
    <t>E0000000020260226224447766219138</t>
  </si>
  <si>
    <t>774af2be-34d8-4fbf-b265-9a6bbf013e55</t>
  </si>
  <si>
    <t>ch_Pzn7q1EiNVs372gx</t>
  </si>
  <si>
    <t>E22896431202602262219HIMFWgRGPpq</t>
  </si>
  <si>
    <t>ca73d6d3-732c-4571-bb37-5c7a0c702928</t>
  </si>
  <si>
    <t>ch_jvydBDQIZJhk35Xo</t>
  </si>
  <si>
    <t>E18236120202602262208s17c7574710</t>
  </si>
  <si>
    <t>9c9623ef-b08a-408a-a612-606093a7c9fd</t>
  </si>
  <si>
    <t>ch_Ppx16B3cV9IVakKW</t>
  </si>
  <si>
    <t>E18236120202602262141s19714c1b0d</t>
  </si>
  <si>
    <t>15f91225-bc29-4e33-a012-65e1f56bd9bf</t>
  </si>
  <si>
    <t>ch_BYOLY5kcwDC2vL7K</t>
  </si>
  <si>
    <t>E00360305202602262140fd0df51ce90</t>
  </si>
  <si>
    <t>284ac6f7-e7e1-4065-87d8-678acc9226f2</t>
  </si>
  <si>
    <t>ch_mxgpkX4ikUQ0jozZ</t>
  </si>
  <si>
    <t>E60746948202602262139A0995j95GTM</t>
  </si>
  <si>
    <t>ddebc543-0779-481a-a686-4e23c87ec353</t>
  </si>
  <si>
    <t>ch_DoLxPdbI52fNeEYN</t>
  </si>
  <si>
    <t>E18236120202602262120s1252a2aff8</t>
  </si>
  <si>
    <t>cdd13dfe-ae5f-40c8-b4c5-6f1ecefa805c</t>
  </si>
  <si>
    <t>ch_P87ljYdVs0s9JXpo</t>
  </si>
  <si>
    <t>E00416968202602262118IuIpLoxpjGr</t>
  </si>
  <si>
    <t>21d50e2f-737b-4f34-9e0c-5f1cfeb72a11</t>
  </si>
  <si>
    <t>ch_gnPZJVYH6unNZ1J9</t>
  </si>
  <si>
    <t>E003603052026022621187b19609eb64</t>
  </si>
  <si>
    <t>1ca6a3f7-c5f9-4f1d-bbc5-0ee39b084695</t>
  </si>
  <si>
    <t>ch_QKz5EG0ipJtPe2ml</t>
  </si>
  <si>
    <t>E00416968202602262116xwwHNHTKnCY</t>
  </si>
  <si>
    <t>001a611d-b365-40cd-b1ee-fcabfeca9777</t>
  </si>
  <si>
    <t>ch_nQd7DxxHqC067qOa</t>
  </si>
  <si>
    <t>E60746948202602262109A2821CHUQro</t>
  </si>
  <si>
    <t>4488979c-8860-4a60-a5d0-ee47bb2cceb5</t>
  </si>
  <si>
    <t>ch_EaoVmN0hwulZw9pq</t>
  </si>
  <si>
    <t>E18236120202602262109s18d5516565</t>
  </si>
  <si>
    <t>3bcd97e5-3c87-4d03-98f9-ac32e3de4878</t>
  </si>
  <si>
    <t>ch_N4kEqeWF3zU8Eazr</t>
  </si>
  <si>
    <t>E18236120202602262107s18ca0c7ad0</t>
  </si>
  <si>
    <t>a0799a9f-0768-47c9-9f00-b44818170849</t>
  </si>
  <si>
    <t>ch_g1knB3XHMSkkJB7q</t>
  </si>
  <si>
    <t>E18236120202602262107s04be5325c9</t>
  </si>
  <si>
    <t>4fbabacf-1af4-4ac6-8df2-7ce5b6e918e4</t>
  </si>
  <si>
    <t>ch_pMdJNEEHmmhK1yRb</t>
  </si>
  <si>
    <t>E08561701202602262104Y5TCVQD4MIW</t>
  </si>
  <si>
    <t>19c162cf-c1dd-45c0-8fcc-398a1573d0fa</t>
  </si>
  <si>
    <t>ch_081AEaNaFzTmDjar</t>
  </si>
  <si>
    <t>E22896431202602262101KSMMdJ9YuIy</t>
  </si>
  <si>
    <t>3f3c8221-d0c2-42bb-8ca6-2c9b99ac4b10</t>
  </si>
  <si>
    <t>ch_RrwEdQKClktGYN7V</t>
  </si>
  <si>
    <t>E18236120202602262056s155fd255ed</t>
  </si>
  <si>
    <t>4c334457-c360-4486-b4a1-948927f668d7</t>
  </si>
  <si>
    <t>ch_JdernDdsLbID5qzX</t>
  </si>
  <si>
    <t>E18236120202602262053s021f2be778</t>
  </si>
  <si>
    <t>bcac4d03-d34c-4b5f-be46-881d097acb77</t>
  </si>
  <si>
    <t>ch_96dmbBdunuv0mZ37</t>
  </si>
  <si>
    <t>E00416968202602262051xG7eN6dbvDE</t>
  </si>
  <si>
    <t>a7680b10-0e44-47fc-95f7-c70596d23eaf</t>
  </si>
  <si>
    <t>ch_d8J4GowuoUpGREnK</t>
  </si>
  <si>
    <t>E18236120202602262051s126bbd571b</t>
  </si>
  <si>
    <t>adc63445-a5dd-4491-b06e-b037cded085b</t>
  </si>
  <si>
    <t>ch_8Y929Gc90cerlbap</t>
  </si>
  <si>
    <t>E18236120202602262050s1741073d4f</t>
  </si>
  <si>
    <t>0411bae3-cf7f-4493-a557-89849afa8cae</t>
  </si>
  <si>
    <t>ch_1E5P01oi6iEzq6LO</t>
  </si>
  <si>
    <t>E270980602026022620499GzJyJ5kuju</t>
  </si>
  <si>
    <t>35399a74-9882-465e-b508-df89f1f99e69</t>
  </si>
  <si>
    <t>ch_gY5vmQmH24sb7vDn</t>
  </si>
  <si>
    <t>E22896431202602262049Fu9t1l3gwmE</t>
  </si>
  <si>
    <t>81f38a72-594d-4e83-a81d-fb9b603ca892</t>
  </si>
  <si>
    <t>ch_RKmy1rES71imYbg9</t>
  </si>
  <si>
    <t>E9040088820260226204256504568114</t>
  </si>
  <si>
    <t>2c701b32-bd80-4322-86b8-c76995ee96de</t>
  </si>
  <si>
    <t>ch_d3MgyqwcmSQx8qOa</t>
  </si>
  <si>
    <t>E60701190202602262041DY5KW4AHGW0</t>
  </si>
  <si>
    <t>224aac86-352b-4729-afc9-5cfa74dbaf61</t>
  </si>
  <si>
    <t>ch_RpeGWbtQ1UY1w97O</t>
  </si>
  <si>
    <t>E003603052026022620401dbcb1b5dc5</t>
  </si>
  <si>
    <t>89302669-62bf-42ff-9d37-9a97ae3217c8</t>
  </si>
  <si>
    <t>ch_OxKj16PTBILa7bAd</t>
  </si>
  <si>
    <t>E9040088820260226203856504285866</t>
  </si>
  <si>
    <t>50cd32ff-c743-472e-82c8-f4efdb38d5a4</t>
  </si>
  <si>
    <t>ch_0ENezaac5gi4zdLJ</t>
  </si>
  <si>
    <t>E18236120202602262034s046ac90a9a</t>
  </si>
  <si>
    <t>9ea59b34-7898-49a9-bb2a-384d1d53f775</t>
  </si>
  <si>
    <t>ch_QO2kn5ysdSKOEZmv</t>
  </si>
  <si>
    <t>E085617012026022620168WOITSB6VE9</t>
  </si>
  <si>
    <t>5f1332fc-5fb2-4d88-8274-0500e25cf8bf</t>
  </si>
  <si>
    <t>ch_KgDNVRRfOC2aNP6p</t>
  </si>
  <si>
    <t>E208558752026022620021WI39SFXLEX</t>
  </si>
  <si>
    <t>5e98f1b1-e9c5-4b54-b34d-d7897f153db7</t>
  </si>
  <si>
    <t>ch_XO6zDNoSOcd6AY9m</t>
  </si>
  <si>
    <t>E00360305202602261958daef1558840</t>
  </si>
  <si>
    <t>616ee25f-a613-40f8-bda8-49cc91a1465d</t>
  </si>
  <si>
    <t>ch_mjJxMWZFbXSPGyLr</t>
  </si>
  <si>
    <t>E00416968202602261956e4vA1mHK8f1</t>
  </si>
  <si>
    <t>7da7ceec-5278-44a9-b1cc-4056c114a745</t>
  </si>
  <si>
    <t>ch_oRDVrxNnIkCawzNG</t>
  </si>
  <si>
    <t>E00360305202602261959c1746eb6d75</t>
  </si>
  <si>
    <t>a3197227-be9f-4c16-9ab1-386c74c9d725</t>
  </si>
  <si>
    <t>ch_6rBX90vt33TRPg9G</t>
  </si>
  <si>
    <t>E60701190202602261952DY5OY5IFJ7O</t>
  </si>
  <si>
    <t>450c2c4e-e609-44de-8e5f-0d4985ac0197</t>
  </si>
  <si>
    <t>ch_OolGdQpI5KiBJkep</t>
  </si>
  <si>
    <t>E2289643120260226195031DWc84EIoK</t>
  </si>
  <si>
    <t>64a2c75c-0bee-4a7c-bee0-361dbc86f9d1</t>
  </si>
  <si>
    <t>ch_gGWV2nu34frKVDyk</t>
  </si>
  <si>
    <t>E18236120202602261949s09808580f2</t>
  </si>
  <si>
    <t>5136630b-98df-47aa-a665-2d7fd57637c6</t>
  </si>
  <si>
    <t>ch_ky4JRr4tyDu5dJoY</t>
  </si>
  <si>
    <t>E08561701202602261947TEKBP2EABFN</t>
  </si>
  <si>
    <t>82faa195-9f22-4d61-81bc-8d85bcefe9eb</t>
  </si>
  <si>
    <t>ch_yoVz803wiXSLWabB</t>
  </si>
  <si>
    <t>E18236120202602261946s1703332f19</t>
  </si>
  <si>
    <t>3abf1b1e-70cf-41b3-b79f-1e09096db305</t>
  </si>
  <si>
    <t>ch_YANy6j8dS0fL49RE</t>
  </si>
  <si>
    <t>E08561701202602261938A9DZICXJDZN</t>
  </si>
  <si>
    <t>4acaa543-c248-4056-9cb4-24530a4d25c0</t>
  </si>
  <si>
    <t>ch_QDA3vgYU6C3nxOKl</t>
  </si>
  <si>
    <t>E60746948202602261936A0321CDhG8k</t>
  </si>
  <si>
    <t>ea4220b4-b4a2-4b47-86c3-3e9f267c9dd1</t>
  </si>
  <si>
    <t>ch_JY8l4Lf23I33l9Go</t>
  </si>
  <si>
    <t>E9040088820260226193556500198021</t>
  </si>
  <si>
    <t>ca918d53-0e7e-408f-a6f7-03f19fa07891</t>
  </si>
  <si>
    <t>ch_42YamEDHZTeQVzdr</t>
  </si>
  <si>
    <t>E27098060202602261934Oet4U8esjJk</t>
  </si>
  <si>
    <t>830dbbfc-26a3-45e6-b8ae-5939785a4798</t>
  </si>
  <si>
    <t>ch_35mD8yhOZheAjwaJ</t>
  </si>
  <si>
    <t>E0000000020260226193000195557628</t>
  </si>
  <si>
    <t>41ab9b72-0ce7-47e4-8b42-7fe7039850f3</t>
  </si>
  <si>
    <t>ch_zYODRKVETas5oK56</t>
  </si>
  <si>
    <t>E10573521202602261929b8gXYRjZTmw</t>
  </si>
  <si>
    <t>954e927d-2566-4ebc-b444-e07ab99b88e9</t>
  </si>
  <si>
    <t>ch_JzVkZvFjohv1kLEM</t>
  </si>
  <si>
    <t>E31872495202602261927EIzsLeJD108</t>
  </si>
  <si>
    <t>20556ff5-6309-4c7e-8fa9-2973b6c3e364</t>
  </si>
  <si>
    <t>ch_89Je2bqsB6cNGeyY</t>
  </si>
  <si>
    <t>E18236120202602261913s131c8701a3</t>
  </si>
  <si>
    <t>d0e62634-c93e-4bdd-b9bb-fea5b9b4edb7</t>
  </si>
  <si>
    <t>ch_29yBZ1VUATAmPAzd</t>
  </si>
  <si>
    <t>E18236120202602261911s071658516e</t>
  </si>
  <si>
    <t>a93f0e20-9148-4360-b4c4-8ebb781ee57f</t>
  </si>
  <si>
    <t>ch_n1Mx7r5OtDU3Km56</t>
  </si>
  <si>
    <t>E18236120202602261908s178bfb6ed8</t>
  </si>
  <si>
    <t>29be7d14-fd60-4921-9996-6e387d65a7fc</t>
  </si>
  <si>
    <t>ch_NMjdmoVSoCxKyDLm</t>
  </si>
  <si>
    <t>E18236120202602261904s1546777ac4</t>
  </si>
  <si>
    <t>f23d0444-e8f7-49f5-9cdd-5a07461a9bb7</t>
  </si>
  <si>
    <t>ch_VNEypbaSGc75rzxG</t>
  </si>
  <si>
    <t>E18236120202602261903s125ce015ba</t>
  </si>
  <si>
    <t>f6aa4af2-c6bf-46f2-9074-4f17aca10013</t>
  </si>
  <si>
    <t>ch_vQ0myvJH19s9B6d9</t>
  </si>
  <si>
    <t>E10573521202602261902cXDxQswsmP9</t>
  </si>
  <si>
    <t>40c9676c-da95-4b04-b835-355ffdd4d187</t>
  </si>
  <si>
    <t>ch_VWrLjA59tLhGjbw8</t>
  </si>
  <si>
    <t>E004169682026022619004GdT4WBGTTp</t>
  </si>
  <si>
    <t>2b7089c5-400a-4e5d-bdf9-6ff695e1bf42</t>
  </si>
  <si>
    <t>ch_35rM74ztjXFLJyA0</t>
  </si>
  <si>
    <t>E18236120202602261900s16adb94ee7</t>
  </si>
  <si>
    <t>68c90c39-cf17-403c-96b7-008eb31260ff</t>
  </si>
  <si>
    <t>ch_rXnQNea9hzSZN04L</t>
  </si>
  <si>
    <t>E08561701202602261857ME87ZRRMNMR</t>
  </si>
  <si>
    <t>a58edd69-0c16-45c0-9835-746463bc2851</t>
  </si>
  <si>
    <t>ch_wP7AzR5s5feyexGY</t>
  </si>
  <si>
    <t>E22896431202602261854QNLJTzlLuZC</t>
  </si>
  <si>
    <t>6407f4e8-a30e-4b53-aabd-50717a72900d</t>
  </si>
  <si>
    <t>ch_KL3Rk2ZBt2F3kWxX</t>
  </si>
  <si>
    <t>E11275560202602261854iAY6OK5L5fi</t>
  </si>
  <si>
    <t>a4a17589-6d9c-4135-8b2b-ca9184421bfd</t>
  </si>
  <si>
    <t>ch_aVGkpOlhBLS440vy</t>
  </si>
  <si>
    <t>E003603052026022618542ce9658bd23</t>
  </si>
  <si>
    <t>eb85905b-9f7e-4196-9c6f-68e268bbf74f</t>
  </si>
  <si>
    <t>ch_1O0N9PyILHxpjaw2</t>
  </si>
  <si>
    <t>E22896431202602261849zgLykdH2aVA</t>
  </si>
  <si>
    <t>8dc99cfb-9de9-4146-a7d9-6e40da0fac96</t>
  </si>
  <si>
    <t>ch_GMv9vGAhrnsQo6nX</t>
  </si>
  <si>
    <t>E18236120202602261849s02dae136c5</t>
  </si>
  <si>
    <t>b28c3625-e6ec-4d96-8a7a-4b58869a2e05</t>
  </si>
  <si>
    <t>ch_pRMzpMuqpUDKO649</t>
  </si>
  <si>
    <t>E60746948202602261847A0995Yj7XTQ</t>
  </si>
  <si>
    <t>a81f1b56-ead3-48d2-ab37-7a68fc343144</t>
  </si>
  <si>
    <t>ch_PpeV7rNHGlTX7Qy5</t>
  </si>
  <si>
    <t>E22896431202602261845HiXtJ438SDD</t>
  </si>
  <si>
    <t>f443bb90-7a2b-4218-967c-4f097e25f013</t>
  </si>
  <si>
    <t>ch_onajkwEhnGs6jKxE</t>
  </si>
  <si>
    <t>E20855875202602261842J3LZ59L4Z36</t>
  </si>
  <si>
    <t>1cbdff4a-dcde-4c15-bd3f-1693f9fe4556</t>
  </si>
  <si>
    <t>ch_kZ1m4eQfmiOK4lja</t>
  </si>
  <si>
    <t>E0000000020260226184203503575195</t>
  </si>
  <si>
    <t>6b1931fb-c098-4265-832b-14156348d3a0</t>
  </si>
  <si>
    <t>ch_m1GM2PgfNoslQOBb</t>
  </si>
  <si>
    <t>E18236120202602261841s09a35a7b2b</t>
  </si>
  <si>
    <t>e853852d-412c-460e-a815-dd003d837344</t>
  </si>
  <si>
    <t>ch_9jMXxamIxbU0vY4y</t>
  </si>
  <si>
    <t>E00416968202602261836dkhgatIVIF9</t>
  </si>
  <si>
    <t>94882471-4ef9-4cb6-9d6f-f010a24cda35</t>
  </si>
  <si>
    <t>ch_xaVvejjiMQfqR385</t>
  </si>
  <si>
    <t>E60746948202602261829A0995oZuy7U</t>
  </si>
  <si>
    <t>1a4570eb-23ee-4ba9-a9f6-b4a640ae5591</t>
  </si>
  <si>
    <t>ch_4yGWXrGINFkl78rg</t>
  </si>
  <si>
    <t>E18236120202602261823s076f04d04d</t>
  </si>
  <si>
    <t>86868680-11c4-4fdd-93cb-b220eb41cc24</t>
  </si>
  <si>
    <t>ch_8Zr36j9YuPfVnw2z</t>
  </si>
  <si>
    <t>E60701190202602261818DY50KD9G0BO</t>
  </si>
  <si>
    <t>8bba1114-b4fc-4d5a-80c8-c6c6d98b0773</t>
  </si>
  <si>
    <t>ch_6emKMmGf0XfYK4b3</t>
  </si>
  <si>
    <t>E08561701202602261813XJRA115AUSB</t>
  </si>
  <si>
    <t>1bd3586e-0b7e-408d-8fa1-c6d50addf16f</t>
  </si>
  <si>
    <t>ch_MlpWvdAtAtZ4BDL7</t>
  </si>
  <si>
    <t>E22896431202602261807itMGRy6GSm2</t>
  </si>
  <si>
    <t>61d106fe-5521-4425-82a4-32b3cfeffdb3</t>
  </si>
  <si>
    <t>ch_jW5kbn5I3I8aQY4o</t>
  </si>
  <si>
    <t>E004169682026022617474BwBaRGzjyG</t>
  </si>
  <si>
    <t>3022e0a2-c4b9-402b-81f7-626fcbce51e8</t>
  </si>
  <si>
    <t>ch_zY2Rb7XSXYUKlvmp</t>
  </si>
  <si>
    <t>E270980602026022617455K6U5k8srB9</t>
  </si>
  <si>
    <t>2668590b-95eb-46e2-b1e3-1a2d7801de3a</t>
  </si>
  <si>
    <t>ch_rNEwq1Yt27u3dwnk</t>
  </si>
  <si>
    <t>E18236120202602261739s12cce62c04</t>
  </si>
  <si>
    <t>5ecb3f60-484a-436f-8c92-fad3fd0de42f</t>
  </si>
  <si>
    <t>ch_vo7yl0Ota0umyldP</t>
  </si>
  <si>
    <t>E10573521202602261736QICjjehF5cy</t>
  </si>
  <si>
    <t>7683ffd5-2847-4d08-81e8-1789fab81c21</t>
  </si>
  <si>
    <t>ch_v9Z3Vv6sp4hZK3n1</t>
  </si>
  <si>
    <t>E31872495202602261735rkljR9oQRPp</t>
  </si>
  <si>
    <t>fc2005e3-090b-459b-b40f-31348831de19</t>
  </si>
  <si>
    <t>ch_YxB0vRMCQjuJn0or</t>
  </si>
  <si>
    <t>E60746948202602261734M3905FnOcVQ</t>
  </si>
  <si>
    <t>8a9c3816-2173-424d-8878-c77919aaa6ae</t>
  </si>
  <si>
    <t>ch_QJjvqRg6uahjNl0y</t>
  </si>
  <si>
    <t>E00360305202602261729528366a0cf5</t>
  </si>
  <si>
    <t>76df1bfc-1ef4-4c52-a878-8fc13fd7214b</t>
  </si>
  <si>
    <t>ch_gEDdqVnUNhmJ1Lxn</t>
  </si>
  <si>
    <t>E31872495202602261729pBVNBZENgN9</t>
  </si>
  <si>
    <t>8a655ffd-a015-4e83-85b9-43fcab7a1fba</t>
  </si>
  <si>
    <t>ch_4MoO6lVFYjhxwPBJ</t>
  </si>
  <si>
    <t>E10573521202602261727Nc8K5CD5rAU</t>
  </si>
  <si>
    <t>4d7ca239-66f1-4a03-a352-1f0ee1bfe119</t>
  </si>
  <si>
    <t>ch_OG4mDr2WtxHJDnR8</t>
  </si>
  <si>
    <t>E00360305202602261726237d729a812</t>
  </si>
  <si>
    <t>5e0322aa-46d8-4e3d-b0a3-d7cbc336f288</t>
  </si>
  <si>
    <t>ch_Pz1Dae3HRAIaDLXJ</t>
  </si>
  <si>
    <t>E60701190202602261721DY5HKTQZB0A</t>
  </si>
  <si>
    <t>2e8d1fdd-4268-42bf-b49f-1971f3d31c05</t>
  </si>
  <si>
    <t>ch_69Bg0BwtRHjEyKlj</t>
  </si>
  <si>
    <t>E60746948202602261721A03213sUQiQ</t>
  </si>
  <si>
    <t>3a47f85c-d00b-4664-b5f1-b97f5c3458e0</t>
  </si>
  <si>
    <t>ch_R7lAmGfnbSeo0MXE</t>
  </si>
  <si>
    <t>E22896431202602261713G8C4bZf9hIp</t>
  </si>
  <si>
    <t>34bc6fc0-9cff-43c4-873e-ea0eb01abf30</t>
  </si>
  <si>
    <t>ch_aDvkdLBFkS0qEb5y</t>
  </si>
  <si>
    <t>E60701190202602261712DY59LIP0NNX</t>
  </si>
  <si>
    <t>b2a44970-b13a-42c3-8982-421647d91968</t>
  </si>
  <si>
    <t>ch_LQGe4nGxu5CBoYaR</t>
  </si>
  <si>
    <t>E18236120202602261708s154abc9860</t>
  </si>
  <si>
    <t>decd3e9d-dcae-4dbc-9404-72ad5d96e1d8</t>
  </si>
  <si>
    <t>ch_6PG32odXH5SrnweY</t>
  </si>
  <si>
    <t>E08561701202602261706WWY7OD41383</t>
  </si>
  <si>
    <t>aaac0090-790d-4b4d-b197-8aae8b4ac709</t>
  </si>
  <si>
    <t>ch_x14ndWpcQI7LE09g</t>
  </si>
  <si>
    <t>E10573521202602261702VxMb3kw97WK</t>
  </si>
  <si>
    <t>337c511f-9c35-47ee-b035-6ae28453d2ee</t>
  </si>
  <si>
    <t>ch_Wkrpe1yINfPye4gM</t>
  </si>
  <si>
    <t>E9040088820260226170056491001061</t>
  </si>
  <si>
    <t>8d579b14-f0df-440a-88ec-c01cfa895443</t>
  </si>
  <si>
    <t>ch_ZOzd8EQT0CJ8QkmN</t>
  </si>
  <si>
    <t>E2709806020260226165422lw5J2o318</t>
  </si>
  <si>
    <t>3d33cd3f-297e-4c6a-8eb9-7f728bb9cf29</t>
  </si>
  <si>
    <t>ch_ZoRk3pdrspid3lMe</t>
  </si>
  <si>
    <t>E9040088820260226165256490465558</t>
  </si>
  <si>
    <t>a76aa850-4a8c-45be-89b3-487e9e4d4997</t>
  </si>
  <si>
    <t>ch_XE6RD9nhPhv1Y3kQ</t>
  </si>
  <si>
    <t>E00360305202602261638139c01a7898</t>
  </si>
  <si>
    <t>0554a765-264d-4868-be8b-acece9c0f142</t>
  </si>
  <si>
    <t>ch_KvNkvouYbIG2DVMW</t>
  </si>
  <si>
    <t>E003603052026022616284ab57e61c26</t>
  </si>
  <si>
    <t>f8d9e6dc-4625-4083-8470-ae66d91f2147</t>
  </si>
  <si>
    <t>ch_bqQKz9dHkAIg313D</t>
  </si>
  <si>
    <t>E10573521202602261627exCM90ilvtt</t>
  </si>
  <si>
    <t>3e94052d-2ce3-4468-805c-a227e6cb2cdc</t>
  </si>
  <si>
    <t>ch_kvwmNmvCY2ceJER6</t>
  </si>
  <si>
    <t>E07237373202602261627CXYX0M7L1IK</t>
  </si>
  <si>
    <t>bc3a8414-17d6-4a65-a7fa-78aad6a45b13</t>
  </si>
  <si>
    <t>ch_a298YDRuvtOP4WpR</t>
  </si>
  <si>
    <t>E22896431202602261624sbyzntjBGIw</t>
  </si>
  <si>
    <t>e6201262-1b06-470f-a046-2e2cdb7d3bed</t>
  </si>
  <si>
    <t>ch_ZqjVwnswqIywaDY8</t>
  </si>
  <si>
    <t>E2289643120260226162312Oe3cG7Lx8</t>
  </si>
  <si>
    <t>948403c8-8ee5-474c-b855-f30b4cd175ab</t>
  </si>
  <si>
    <t>ch_Vne4MKNFLt8WEmY8</t>
  </si>
  <si>
    <t>E18236120202602261621s05871e8bfd</t>
  </si>
  <si>
    <t>4e8e3325-10d4-4482-91c2-1a94505ead78</t>
  </si>
  <si>
    <t>ch_AVm8AZyToes4lqK2</t>
  </si>
  <si>
    <t>E00416968202602261615wPRklcjijhP</t>
  </si>
  <si>
    <t>c95dbacb-3268-4211-8dd2-4ecf2a73bb82</t>
  </si>
  <si>
    <t>ch_jeP9MXjtqvUndLNg</t>
  </si>
  <si>
    <t>E003603052026022616140552023a8d1</t>
  </si>
  <si>
    <t>3c2bbca2-bc27-40f3-876c-6018485fcad2</t>
  </si>
  <si>
    <t>ch_0pEQ1z8nt4CBKkjr</t>
  </si>
  <si>
    <t>E00416968202602261610lr3ey1AwD7F</t>
  </si>
  <si>
    <t>4a3659e4-d48e-497b-9aad-4d51a649b824</t>
  </si>
  <si>
    <t>ch_xjdLqJ6UWSyqvY03</t>
  </si>
  <si>
    <t>E60701190202602261556DY5FMXT7X8Z</t>
  </si>
  <si>
    <t>28f29a98-851f-483e-ac14-f4b24b58b38b</t>
  </si>
  <si>
    <t>ch_oZeXyatLxtb2XDRn</t>
  </si>
  <si>
    <t>E003603052026022615488034200c457</t>
  </si>
  <si>
    <t>0ebde650-1995-443f-bbf8-6528c3fbca9e</t>
  </si>
  <si>
    <t>ch_dyBX8Evi7SVKrqJV</t>
  </si>
  <si>
    <t>E22896431202602261546apbPKAhZEod</t>
  </si>
  <si>
    <t>6ef086bc-560d-42b3-abfb-bffb6719f2f9</t>
  </si>
  <si>
    <t>ch_YOM0oOwCLC0BoK7X</t>
  </si>
  <si>
    <t>E00416968202602261538QeXGHDgpjTZ</t>
  </si>
  <si>
    <t>3d693012-bab9-4495-a44d-d0f7d52597ec</t>
  </si>
  <si>
    <t>ch_NbJBQ8rtqCRXoq6Z</t>
  </si>
  <si>
    <t>E00416968202602261537ChLU3spN3GG</t>
  </si>
  <si>
    <t>2d4be60f-95a3-45e4-8df2-eb366243b00f</t>
  </si>
  <si>
    <t>ch_oeO89LmIyFDj1b54</t>
  </si>
  <si>
    <t>E18236120202602261536s00960b7e92</t>
  </si>
  <si>
    <t>e1128fe2-99f4-4add-8241-2b87fc79213f</t>
  </si>
  <si>
    <t>ch_1GX3l9TVjUn5zk4o</t>
  </si>
  <si>
    <t>E60746948202602261529A62984Lsn0I</t>
  </si>
  <si>
    <t>dea80053-6bcc-4466-987f-13608ed1bac3</t>
  </si>
  <si>
    <t>ch_d89rj2dU7YFJrxV5</t>
  </si>
  <si>
    <t>E270980602026022615288W5aBeFXxpX</t>
  </si>
  <si>
    <t>a2d06070-e879-495c-a714-1b88f4f26a77</t>
  </si>
  <si>
    <t>ch_eqmYPBeceAHXLEJv</t>
  </si>
  <si>
    <t>E18189547202602261522t4t3GfmSV8g</t>
  </si>
  <si>
    <t>b2d5544f-1af5-465d-b41e-db0728eb899e</t>
  </si>
  <si>
    <t>ch_QwyA1VgsjhALeKoW</t>
  </si>
  <si>
    <t>E10573521202602261522WhmGvv249nf</t>
  </si>
  <si>
    <t>e9b5b9c1-e286-4296-b4a6-2d4f842f8136</t>
  </si>
  <si>
    <t>ch_2nk6PgApcjtXb7BX</t>
  </si>
  <si>
    <t>E59285411202602261520JW5mLlBHYSl</t>
  </si>
  <si>
    <t>c2580073-330e-4b21-bde8-0c0052abaae1</t>
  </si>
  <si>
    <t>ch_XJjDV7msDuoq50Wq</t>
  </si>
  <si>
    <t>E18236120202602261512s060854f9f4</t>
  </si>
  <si>
    <t>27f829b8-9e39-4088-a240-a75c245c0a72</t>
  </si>
  <si>
    <t>ch_Wg1N5qeCeIQy5wyR</t>
  </si>
  <si>
    <t>E003603052026022615070bc5508e9cf</t>
  </si>
  <si>
    <t>7305c806-b667-4582-9779-51928628a0a2</t>
  </si>
  <si>
    <t>ch_x67Z3kVtYmfwvZR4</t>
  </si>
  <si>
    <t>E18236120202602261505s06910be74c</t>
  </si>
  <si>
    <t>6f9d2687-f5a9-417e-97b4-316f8957f359</t>
  </si>
  <si>
    <t>ch_Gr9dDvYF3ptpKwPo</t>
  </si>
  <si>
    <t>E003603052026022615037f0958ab620</t>
  </si>
  <si>
    <t>f147376a-c6dd-4e0d-ab2e-f577f6ad55b1</t>
  </si>
  <si>
    <t>ch_J1269qyc9BS8r6wL</t>
  </si>
  <si>
    <t>E60746948202602261502A282126mQpw</t>
  </si>
  <si>
    <t>ad97626c-4cc2-4fd3-b268-d8273199478c</t>
  </si>
  <si>
    <t>ch_xRpBE08h8iJAEZKQ</t>
  </si>
  <si>
    <t>E16501555202602261459d64253ad1fe</t>
  </si>
  <si>
    <t>94fe5e21-79b8-4501-9b74-3dcb32a47723</t>
  </si>
  <si>
    <t>ch_02o7zAbFxForPwja</t>
  </si>
  <si>
    <t>E18236120202602261453s087e9f3874</t>
  </si>
  <si>
    <t>8f4d5d6b-fcf2-4604-aac2-e1092f0f2a66</t>
  </si>
  <si>
    <t>ch_glX5n8sdVH8aWjP7</t>
  </si>
  <si>
    <t>E18236120202602261451s17a9c3b4c4</t>
  </si>
  <si>
    <t>68ddb023-ed88-40a4-8a79-150a2112449b</t>
  </si>
  <si>
    <t>ch_DbPGqbUndHaNe7nQ</t>
  </si>
  <si>
    <t>E18236120202602261442s0016cd0a61</t>
  </si>
  <si>
    <t>fa36bfa3-6164-4f34-9968-fd62308935cc</t>
  </si>
  <si>
    <t>ch_6nl7E3MIWPfN8BLZ</t>
  </si>
  <si>
    <t>E27098060202602261429UKaXdxpaEYw</t>
  </si>
  <si>
    <t>1d81e6d1-c3d0-41d1-b8f9-5cdf5e096637</t>
  </si>
  <si>
    <t>ch_EYpwmQWS7tKoBnk4</t>
  </si>
  <si>
    <t>E22896431202602261428wNnxublyOuG</t>
  </si>
  <si>
    <t>591b1928-29af-4d8a-a309-348d187809aa</t>
  </si>
  <si>
    <t>ch_3Lr1rrasjbHLL1Ev</t>
  </si>
  <si>
    <t>E10573521202602261426qJUoU3OPyIM</t>
  </si>
  <si>
    <t>a6b46a68-73ce-4b21-aba5-41d6bcc0dea0</t>
  </si>
  <si>
    <t>ch_MyJdKj2tri8KRG3x</t>
  </si>
  <si>
    <t>E27098060202602261426P9khfUliaFM</t>
  </si>
  <si>
    <t>ce6db218-4962-4ef3-9ed4-5e8a5df598d2</t>
  </si>
  <si>
    <t>ch_r52PZV1C2RUwdP17</t>
  </si>
  <si>
    <t>E0036030520260226142385b2c47df00</t>
  </si>
  <si>
    <t>34ffb4e1-1229-414f-bc99-3ecc4d1d6bf1</t>
  </si>
  <si>
    <t>ch_RoVKQ9KbTkhpA89g</t>
  </si>
  <si>
    <t>E18189547202602261414EGkYpX5G6jy</t>
  </si>
  <si>
    <t>a80734b5-cdce-469f-bfb8-7115b485782f</t>
  </si>
  <si>
    <t>ch_2Y3rxwqcAGiwRm7V</t>
  </si>
  <si>
    <t>E0000000020260226140911660219741</t>
  </si>
  <si>
    <t>bb5533e6-f2e8-4767-9e7c-67be92138b7b</t>
  </si>
  <si>
    <t>ch_LD2VMAJT7Bug53a4</t>
  </si>
  <si>
    <t>E27098060202602261408Pt9Llqf4YxU</t>
  </si>
  <si>
    <t>743c5094-ae1d-4ae1-97f6-be008e4c3bf8</t>
  </si>
  <si>
    <t>ch_GnXVyY4f1asBVLMJ</t>
  </si>
  <si>
    <t>E18236120202602261407s196d47e290</t>
  </si>
  <si>
    <t>25c464f1-76cf-47f4-8c44-d896a7a6f5bf</t>
  </si>
  <si>
    <t>ch_D1VW84hnLcgbWJeL</t>
  </si>
  <si>
    <t>E60746948202602261405M3860VfCQec</t>
  </si>
  <si>
    <t>25cb5255-4670-4ba1-a483-77de88e3ff72</t>
  </si>
  <si>
    <t>ch_BM10DxriNVTwoXjg</t>
  </si>
  <si>
    <t>E22896431202602261358LhXaXGUgC1a</t>
  </si>
  <si>
    <t>c6ee92a6-000e-400e-bae4-25142add44c6</t>
  </si>
  <si>
    <t>ch_Y1GAPnQIODu769xR</t>
  </si>
  <si>
    <t>E22896431202602261358yM2k2XHEqBZ</t>
  </si>
  <si>
    <t>6c4d8095-40bf-4a17-9893-baf90f9def31</t>
  </si>
  <si>
    <t>ch_pvR5gjoIaOTZkxVw</t>
  </si>
  <si>
    <t>E105735212026022613563SLYyon6GHk</t>
  </si>
  <si>
    <t>47b59fc9-bffc-4f64-b803-a8c89d861b30</t>
  </si>
  <si>
    <t>ch_kBWbBBNsoNHJjbDq</t>
  </si>
  <si>
    <t>E0036030520260226135676eab164834</t>
  </si>
  <si>
    <t>3e5f297d-04e5-44d1-af32-b7ee4be875c8</t>
  </si>
  <si>
    <t>ch_aGNegnytWFBM5wd0</t>
  </si>
  <si>
    <t>E228964312026022613499WDkOzSeljy</t>
  </si>
  <si>
    <t>576fa51d-2636-4c92-9ea9-1489ecf735a2</t>
  </si>
  <si>
    <t>ch_paJQ2yMXU3Fr2gv8</t>
  </si>
  <si>
    <t>E16501555202602261347bf46494a94f</t>
  </si>
  <si>
    <t>52258472-4d57-4a93-b9d3-1baad73f207d</t>
  </si>
  <si>
    <t>ch_Ddx35A2FasjAWmNZ</t>
  </si>
  <si>
    <t>E18236120202602261346s0726943758</t>
  </si>
  <si>
    <t>e7e0ba6e-95fe-4236-ac82-559648c6fb85</t>
  </si>
  <si>
    <t>ch_aOA57oPLSoHKnek2</t>
  </si>
  <si>
    <t>E10573521202602261346jOgR3TB36Gr</t>
  </si>
  <si>
    <t>0d5b44d3-dbfb-401d-bb05-ab8f4890de56</t>
  </si>
  <si>
    <t>ch_B72JP7Qh8BfpVQY1</t>
  </si>
  <si>
    <t>E18236120202602261338s190cf999e8</t>
  </si>
  <si>
    <t>daec3aa3-1cf2-4dc7-9ab8-2f7cc378a1fc</t>
  </si>
  <si>
    <t>ch_PoNvpDNPI3T2mMkW</t>
  </si>
  <si>
    <t>E18236120202602261337s035f793760</t>
  </si>
  <si>
    <t>d64f18ae-5cf0-4b86-a6bd-fb03e7f08755</t>
  </si>
  <si>
    <t>ch_OVZNRnMcZigr0ydE</t>
  </si>
  <si>
    <t>E18236120202602261333s16bb14596c</t>
  </si>
  <si>
    <t>9648ec35-cf8b-4edf-b142-5753e3702807</t>
  </si>
  <si>
    <t>ch_rMkXj443coIyjw0Y</t>
  </si>
  <si>
    <t>E0000000020260226132500090753765</t>
  </si>
  <si>
    <t>7586a331-024d-483b-8c46-74c937f2c25e</t>
  </si>
  <si>
    <t>ch_mjEM3ADntKT4RZdW</t>
  </si>
  <si>
    <t>E08561701202602261323VFXM7GF0S9K</t>
  </si>
  <si>
    <t>2a252f8f-0211-4df3-aaa9-d90661edbc0c</t>
  </si>
  <si>
    <t>ch_WQR8omvFjYIPMAXP</t>
  </si>
  <si>
    <t>E18236120202602261318s020046289a</t>
  </si>
  <si>
    <t>7d4dd961-741d-40d1-8e34-c282f6b51476</t>
  </si>
  <si>
    <t>ch_2EXbdz3FjDIPBJR3</t>
  </si>
  <si>
    <t>E085617012026022613127SY63ZGYCHV</t>
  </si>
  <si>
    <t>10fd6509-c53a-4318-992b-6036536e8c89</t>
  </si>
  <si>
    <t>ch_nWdZdYIxoUoVRpO4</t>
  </si>
  <si>
    <t>E0000000020260226131008786911406</t>
  </si>
  <si>
    <t>b6fef142-13ad-4d67-ab22-8b078fc4bc43</t>
  </si>
  <si>
    <t>ch_XNg7MjU96f54k0jp</t>
  </si>
  <si>
    <t>E22896431202602261304lCYsz7E9FfP</t>
  </si>
  <si>
    <t>7b9d103f-883e-42c4-80b3-5fb3a252cae6</t>
  </si>
  <si>
    <t>ch_WrB84GBt3xh2gqw3</t>
  </si>
  <si>
    <t>E18189547202602261303zUCiQP1Dc7k</t>
  </si>
  <si>
    <t>f8901339-69c4-412d-86c4-93643aa01a81</t>
  </si>
  <si>
    <t>ch_X9JzMDdiYdik2qmD</t>
  </si>
  <si>
    <t>E08561701202602261303OITEJ9V5XL3</t>
  </si>
  <si>
    <t>d0e482b1-a5a1-4139-a7fd-2b9abbaea625</t>
  </si>
  <si>
    <t>ch_Rqe5EJn9TeCxEPK2</t>
  </si>
  <si>
    <t>E24313102202602261259Ngb2KpGmlb5</t>
  </si>
  <si>
    <t>0cba6099-cf0a-4c1a-bccc-9aa70851eab7</t>
  </si>
  <si>
    <t>ch_E785WdRt77h23xQk</t>
  </si>
  <si>
    <t>E60746948202602261256A03219y1YC4</t>
  </si>
  <si>
    <t>cf20dad3-6e93-4cb5-ab17-f9bedbbaec16</t>
  </si>
  <si>
    <t>ch_kpv7GVxEFBce6Jrb</t>
  </si>
  <si>
    <t>E228964312026022612553ioq15X4BD4</t>
  </si>
  <si>
    <t>753b3006-1231-481b-b1ec-b322eaa956c2</t>
  </si>
  <si>
    <t>ch_G7XlKXeAtnCxVNyZ</t>
  </si>
  <si>
    <t>E0000000020260226125151981334215</t>
  </si>
  <si>
    <t>2e67a250-d99b-4ed4-a495-cf67eecec30c</t>
  </si>
  <si>
    <t>ch_OXa6KzfOoHJaZvz0</t>
  </si>
  <si>
    <t>E003603052026022612519145ef9fde9</t>
  </si>
  <si>
    <t>a2590d9e-0644-4ce5-a20f-7699394769d2</t>
  </si>
  <si>
    <t>ch_18aM9OQrsqtWXvgy</t>
  </si>
  <si>
    <t>E00360305202602261251bab0d5ed3c3</t>
  </si>
  <si>
    <t>f2dd5b07-e75a-4e3d-8c77-4febe6355cb7</t>
  </si>
  <si>
    <t>ch_8g3GkWMf2aT3ZGdo</t>
  </si>
  <si>
    <t>E18236120202602261249s07e4bc86af</t>
  </si>
  <si>
    <t>1e59c46d-783d-409d-8acc-c6c8e3d931db</t>
  </si>
  <si>
    <t>ch_kqyY2lXsb8sz3aPB</t>
  </si>
  <si>
    <t>E22896431202602261249QLZDyf6ARnY</t>
  </si>
  <si>
    <t>5cca7354-cf92-45ed-989a-ea4b7a3da770</t>
  </si>
  <si>
    <t>ch_mGwNKvGFQImw6KEZ</t>
  </si>
  <si>
    <t>E0000000020260226124801763767275</t>
  </si>
  <si>
    <t>a5857012-dd49-4a1b-b6d9-30475226ef7a</t>
  </si>
  <si>
    <t>ch_p0EBq7ixJI3kWx5e</t>
  </si>
  <si>
    <t>E18236120202602261247s05311ae1cf</t>
  </si>
  <si>
    <t>e1eebe28-9560-4a37-a509-7dde2bc67017</t>
  </si>
  <si>
    <t>ch_1BpZMRRTDlHb1mk3</t>
  </si>
  <si>
    <t>E18236120202602261246s07f01bfae6</t>
  </si>
  <si>
    <t>77b7da8e-5d93-48b4-afbe-81cd60ac07e6</t>
  </si>
  <si>
    <t>ch_Ey3kMQwtWaTbRkXO</t>
  </si>
  <si>
    <t>E18236120202602261245s15978e8e94</t>
  </si>
  <si>
    <t>58eaa081-5320-40ce-9481-cb43ca47908d</t>
  </si>
  <si>
    <t>ch_M63oQxAI2FJ20kDN</t>
  </si>
  <si>
    <t>E27098060202602261242r4pXd4ZMElr</t>
  </si>
  <si>
    <t>545def52-b93a-4bfe-bec9-cd6cc4d88974</t>
  </si>
  <si>
    <t>ch_OlE1Bjl5iQT5Vkvz</t>
  </si>
  <si>
    <t>E02382755202602261241gTmvc4KynOK</t>
  </si>
  <si>
    <t>e87c9ad6-2053-4153-8e4d-dbac259b34aa</t>
  </si>
  <si>
    <t>ch_e85RKGacmzUYgREZ</t>
  </si>
  <si>
    <t>E270980602026022612377K6cWjCunLB</t>
  </si>
  <si>
    <t>6792a3a8-2135-46eb-b377-03952fa1a596</t>
  </si>
  <si>
    <t>ch_1Xb5Oe9CYlSdWjYx</t>
  </si>
  <si>
    <t>E0036030520260226123591c7b338616</t>
  </si>
  <si>
    <t>eb735fbc-5bc1-47ab-9cf4-53a769d43009</t>
  </si>
  <si>
    <t>ch_m7xw5YsYrhQywpBG</t>
  </si>
  <si>
    <t>E9040088820260226123256475332407</t>
  </si>
  <si>
    <t>284d2d81-74f6-4c41-90bf-e8e5dfe3ba68</t>
  </si>
  <si>
    <t>ch_93ea1KFvzsnK8Lgd</t>
  </si>
  <si>
    <t>E18236120202602261228s06f1acb65d</t>
  </si>
  <si>
    <t>d7c77bd7-9734-41c3-a38d-01826654f52c</t>
  </si>
  <si>
    <t>ch_XdLeW03u1hVnQYZN</t>
  </si>
  <si>
    <t>E18236120202602261224s04cd79257e</t>
  </si>
  <si>
    <t>e53aba71-5c1e-4931-aafd-abbc9aa9d431</t>
  </si>
  <si>
    <t>ch_xXr06DYHLxUe89PK</t>
  </si>
  <si>
    <t>E27098060202602261222I6kYXz8h1gU</t>
  </si>
  <si>
    <t>09a480c3-20c4-4546-9da3-9697c656a06b</t>
  </si>
  <si>
    <t>ch_E9G3eqohgfLDqQWw</t>
  </si>
  <si>
    <t>E18236120202602261221s104b603c7b</t>
  </si>
  <si>
    <t>451c7c62-3247-409c-bbb5-eb3e1af913fb</t>
  </si>
  <si>
    <t>ch_lP0yzrWT7Pfa6yGL</t>
  </si>
  <si>
    <t>E18236120202602261219s0289720871</t>
  </si>
  <si>
    <t>6902714b-3349-4cff-9997-d69ca912a86f</t>
  </si>
  <si>
    <t>ch_3vABgGNIxYh8Bdj2</t>
  </si>
  <si>
    <t>E18236120202602261214s11164bcb45</t>
  </si>
  <si>
    <t>e6ba9fca-f861-43fe-aab0-65e56beb4de6</t>
  </si>
  <si>
    <t>ch_zkZXKjncgktNgWBq</t>
  </si>
  <si>
    <t>E18236120202602261212s02847c7166</t>
  </si>
  <si>
    <t>17b7ff7b-0143-423c-ab08-d5d068701415</t>
  </si>
  <si>
    <t>ch_d32xbqRSDwczpg8Y</t>
  </si>
  <si>
    <t>E00360305202602261200d57404fdb9e</t>
  </si>
  <si>
    <t>91d5ae68-5d3e-4436-893a-655c7fca975d</t>
  </si>
  <si>
    <t>ch_PG2LWaGjt3Hw68oX</t>
  </si>
  <si>
    <t>E9040088820260226115856473774493</t>
  </si>
  <si>
    <t>1de0e09e-6430-49ed-8d0d-689b89726a65</t>
  </si>
  <si>
    <t>ch_3mV9Z4PTbasLPogN</t>
  </si>
  <si>
    <t>E08561701202602261158VPF38F8JZU1</t>
  </si>
  <si>
    <t>4444384c-ddc1-456b-ab4c-8dc748a26525</t>
  </si>
  <si>
    <t>ch_ORmQDzrcAS09yNJ9</t>
  </si>
  <si>
    <t>E60746948202602261157A0995DQn2OY</t>
  </si>
  <si>
    <t>bb9a5660-5eee-4595-bfc9-0eb7c959ab87</t>
  </si>
  <si>
    <t>ch_drXNgB3lspCon7yb</t>
  </si>
  <si>
    <t>E18236120202602261152s155cf58a0b</t>
  </si>
  <si>
    <t>07141492-e58d-4e8b-b5a9-76582fc14e3d</t>
  </si>
  <si>
    <t>ch_R87rEd2JsLfpxD2W</t>
  </si>
  <si>
    <t>E0000000020260226115112790028854</t>
  </si>
  <si>
    <t>c1cc12a9-aa81-48a8-abf9-894daf629e1b</t>
  </si>
  <si>
    <t>ch_wPdxWMrIK5I8RAZe</t>
  </si>
  <si>
    <t>E003603052026022611461fdae962926</t>
  </si>
  <si>
    <t>b9cd3479-4b23-4de0-a3a1-2112f2aa529a</t>
  </si>
  <si>
    <t>ch_V3Ze4RKcehyjOEl8</t>
  </si>
  <si>
    <t>E18236120202602261145s016bc1ea68</t>
  </si>
  <si>
    <t>92c87c00-ab2b-4713-ab0e-e53cfd85f1dc</t>
  </si>
  <si>
    <t>ch_e03K039sJqsPlNr2</t>
  </si>
  <si>
    <t>E105735212026022611449siMO6kQ5D1</t>
  </si>
  <si>
    <t>ff019234-d99a-49da-adee-bd6f2e14e584</t>
  </si>
  <si>
    <t>ch_9z8NBprIbhL6vDLO</t>
  </si>
  <si>
    <t>E003603052026022611424ae4a432127</t>
  </si>
  <si>
    <t>86733838-17ae-4014-9c02-ad8cc3616ce1</t>
  </si>
  <si>
    <t>ch_YZnVEwBSMcLdRGdE</t>
  </si>
  <si>
    <t>E31872495202602261139bnK3FpQPqAg</t>
  </si>
  <si>
    <t>b762ad4c-67f2-4222-9ce7-0babc6930871</t>
  </si>
  <si>
    <t>ch_eJ1zoEjCDsZwPElY</t>
  </si>
  <si>
    <t>E003603052026022611369613d0028d8</t>
  </si>
  <si>
    <t>e606e05e-85b1-46a0-b082-70ce1e1ec3ed</t>
  </si>
  <si>
    <t>ch_k7d2o6As1yhldNrO</t>
  </si>
  <si>
    <t>E18236120202602261135s1095aa1cea</t>
  </si>
  <si>
    <t>c00b38c3-8bca-405b-88d0-a69fda0179c1</t>
  </si>
  <si>
    <t>ch_VbneqmRub9c4e8Qq</t>
  </si>
  <si>
    <t>E08561701202602261132X4PBKHGSQFT</t>
  </si>
  <si>
    <t>5b4a9d0d-c87c-4c1d-9fad-b862672a4c68</t>
  </si>
  <si>
    <t>ch_A6qOvZuoocq1O0R5</t>
  </si>
  <si>
    <t>E18236120202602261130s17000a1749</t>
  </si>
  <si>
    <t>84ec535f-9a18-4f75-8a56-428d19afde05</t>
  </si>
  <si>
    <t>ch_E4gj4oAtvvfDVxzp</t>
  </si>
  <si>
    <t>E00360305202602261129d33a0661690</t>
  </si>
  <si>
    <t>6f7e1c19-9ca1-4e2b-9ca4-95de849b0264</t>
  </si>
  <si>
    <t>ch_PpvwrALtvCzg53ZN</t>
  </si>
  <si>
    <t>E18236120202602261126s156d9b5035</t>
  </si>
  <si>
    <t>d9792acd-f65d-4023-835e-1958b7630c91</t>
  </si>
  <si>
    <t>ch_vwqVJvaHZytZ6x93</t>
  </si>
  <si>
    <t>E18236120202602261058s11c3426370</t>
  </si>
  <si>
    <t>1087e983-6e8c-41ba-97ea-acb4ce121a8c</t>
  </si>
  <si>
    <t>ch_Z2kAe9muXfj4e8Vm</t>
  </si>
  <si>
    <t>E165015552026022610583dd8762fd87</t>
  </si>
  <si>
    <t>3de8ec71-1612-4958-9adb-0c026777a462</t>
  </si>
  <si>
    <t>ch_6lgLW0dsp0CRWnqJ</t>
  </si>
  <si>
    <t>E60701190202602261052DY5RJUMNFDW</t>
  </si>
  <si>
    <t>93051199-40d0-4a3a-8309-30399466df4c</t>
  </si>
  <si>
    <t>ch_PYJZawAUY8h3Aedz</t>
  </si>
  <si>
    <t>E18236120202602261045s143d088618</t>
  </si>
  <si>
    <t>02ae1c0d-40aa-44ea-b36e-37f2f31b3a20</t>
  </si>
  <si>
    <t>ch_8OGJgzps5TZ50m3z</t>
  </si>
  <si>
    <t>E18236120202602261043s15e2992b12</t>
  </si>
  <si>
    <t>d38bd3ea-de73-4c77-a840-5d80a166dc96</t>
  </si>
  <si>
    <t>ch_MjxY028SlczXbkZ3</t>
  </si>
  <si>
    <t>E18236120202602261040s15882571b3</t>
  </si>
  <si>
    <t>d87c42fc-46f6-44f6-ac3a-41b47f0a316c</t>
  </si>
  <si>
    <t>ch_4Z506QZI7H8mkP32</t>
  </si>
  <si>
    <t>E08561701202602261038QUS9V7B9PAB</t>
  </si>
  <si>
    <t>0b4f7d9c-d2c1-4f89-a3d3-476f33031e98</t>
  </si>
  <si>
    <t>ch_gErGWYVUA6CdDJbd</t>
  </si>
  <si>
    <t>E0000000020260226103725735974937</t>
  </si>
  <si>
    <t>659bcaaf-1f27-4c69-90cf-b3eb2a87df88</t>
  </si>
  <si>
    <t>ch_d63q8GgTjysPZgpE</t>
  </si>
  <si>
    <t>E43394419202602261028J24gKrisW5w</t>
  </si>
  <si>
    <t>b305448f-e53d-4cf4-b368-a71b4c18f437</t>
  </si>
  <si>
    <t>ch_G2v3VWIALuv5rAyp</t>
  </si>
  <si>
    <t>E0000000020260226102326092215545</t>
  </si>
  <si>
    <t>76aad509-1d2d-4f12-a09a-fed3b267f09f</t>
  </si>
  <si>
    <t>ch_XZrwJOCYZTGLdb5K</t>
  </si>
  <si>
    <t>E0036030520260226102170654a1d735</t>
  </si>
  <si>
    <t>231d8ef4-f97b-452c-a417-fe420f23a6d8</t>
  </si>
  <si>
    <t>ch_kDQ2zYXfeFNKBo97</t>
  </si>
  <si>
    <t>E31872495202602261019KrevSzjVi0J</t>
  </si>
  <si>
    <t>a85f5095-d8c2-4bb9-97bc-9ca0f2ce02a2</t>
  </si>
  <si>
    <t>ch_Pgq7jdCMXt9NOaxD</t>
  </si>
  <si>
    <t>E9040088820260226101256469702097</t>
  </si>
  <si>
    <t>0c3f85f8-55aa-4f07-acd9-90b8bab2239f</t>
  </si>
  <si>
    <t>ch_M02o0jPS5GuQ7Zgk</t>
  </si>
  <si>
    <t>E00416968202602261004r53FPjmJoZm</t>
  </si>
  <si>
    <t>bd66ea69-8fe8-4160-9cde-388a9792093b</t>
  </si>
  <si>
    <t>ch_5jRd0zGvcPSWxgOD</t>
  </si>
  <si>
    <t>E08561701202602260955WG54JQXYVWO</t>
  </si>
  <si>
    <t>a3a7a02b-bde8-4d3c-abb4-52f314e2df98</t>
  </si>
  <si>
    <t>ch_gGkQBWViz3s00npZ</t>
  </si>
  <si>
    <t>E60746948202602260954A0995xQ7BWw</t>
  </si>
  <si>
    <t>a060cbf7-de69-4dc4-a7da-e7be4b28f6aa</t>
  </si>
  <si>
    <t>ch_Bz6KGoxhx0tOKvGk</t>
  </si>
  <si>
    <t>E08561701202602260951N0N2BZ8QVFL</t>
  </si>
  <si>
    <t>28fbc171-0aa7-4763-8356-2e45964fb1de</t>
  </si>
  <si>
    <t>ch_xg8PGjuzmskwl59v</t>
  </si>
  <si>
    <t>E18236120202602260949s08435a9edd</t>
  </si>
  <si>
    <t>005a84f5-151f-46aa-b894-9d037a86f075</t>
  </si>
  <si>
    <t>ch_659ojM1C98SQDGmp</t>
  </si>
  <si>
    <t>E18236120202602260945s18c2cdce1c</t>
  </si>
  <si>
    <t>dafae2cf-5d6c-4a15-8b74-37e1095ca02f</t>
  </si>
  <si>
    <t>ch_Nvy7Y3JcpGCNr2RE</t>
  </si>
  <si>
    <t>E27098060202602260945NcvZVfEzW4F</t>
  </si>
  <si>
    <t>3dda6f9a-c0c1-4fb8-9c80-b49bf976b4cb</t>
  </si>
  <si>
    <t>ch_jdK9LVntxgCJjq7g</t>
  </si>
  <si>
    <t>E08561701202602260944Y0HHZ2SD1YD</t>
  </si>
  <si>
    <t>4fb370bb-7de5-40e4-9baf-9b1d30536ab0</t>
  </si>
  <si>
    <t>ch_lrw0A2YuYhgZMJ27</t>
  </si>
  <si>
    <t>E18236120202602260950s1349a32426</t>
  </si>
  <si>
    <t>1f8f6f0c-d45e-449e-852c-48e48da22e25</t>
  </si>
  <si>
    <t>ch_0e32MrD9s9IgoNzr</t>
  </si>
  <si>
    <t>E18236120202602260933s14861f7f1a</t>
  </si>
  <si>
    <t>551973be-11d5-4e32-8ed1-f0c52a795496</t>
  </si>
  <si>
    <t>ch_b6AaEwesrsyxljgy</t>
  </si>
  <si>
    <t>E18236120202602260929s04ab2ff081</t>
  </si>
  <si>
    <t>2d3fd793-3e36-4ae8-a017-cebbef3bc756</t>
  </si>
  <si>
    <t>ch_pGLr7vC9zfV42P3V</t>
  </si>
  <si>
    <t>E60746948202602260928A0995LWVb0w</t>
  </si>
  <si>
    <t>057a8659-4a27-48b9-b5c4-559056e54d2e</t>
  </si>
  <si>
    <t>ch_ABpRl0b7fBiGmoNn</t>
  </si>
  <si>
    <t>E18236120202602260926s122de04a1e</t>
  </si>
  <si>
    <t>9e02509c-e6fb-49cb-95ea-f3d6e3157394</t>
  </si>
  <si>
    <t>ch_O9lmvkYtbqfdxAoN</t>
  </si>
  <si>
    <t>E18236120202602260924s1561c4623a</t>
  </si>
  <si>
    <t>f8e500e5-b6d9-4b19-b5cd-b1a4d504cfb0</t>
  </si>
  <si>
    <t>ch_P7RG1BiAMcJ6X94J</t>
  </si>
  <si>
    <t>E18236120202602260922s1849fcf39e</t>
  </si>
  <si>
    <t>08d3451e-0381-4e50-8d6d-e62abd695465</t>
  </si>
  <si>
    <t>ch_gk1VWMjF9FlE6dXm</t>
  </si>
  <si>
    <t>E18236120202602260921s1451509c78</t>
  </si>
  <si>
    <t>db5d5a62-44ba-49e7-8f79-d0a60ba5f56e</t>
  </si>
  <si>
    <t>ch_wQYMvz9QfGspblr1</t>
  </si>
  <si>
    <t>E18236120202602260920s184d199f32</t>
  </si>
  <si>
    <t>fbfba1c4-6c27-4166-8401-0a88dcc6d2e3</t>
  </si>
  <si>
    <t>ch_akqD4njtA8CXvQBK</t>
  </si>
  <si>
    <t>E18236120202602260915s09200bc053</t>
  </si>
  <si>
    <t>0c9b30c0-c08d-4852-9fc8-3e12ba418a62</t>
  </si>
  <si>
    <t>ch_390AKvyFYC4J8gRx</t>
  </si>
  <si>
    <t>E18236120202602260910s1440b3fb51</t>
  </si>
  <si>
    <t>ab7db10f-683d-4fa5-85b2-ae261fdacaa4</t>
  </si>
  <si>
    <t>ch_6DdYgdnHaHy3Q7LX</t>
  </si>
  <si>
    <t>E60701190202602260857DY5GSU4M928</t>
  </si>
  <si>
    <t>d1200645-e602-4bef-a1f7-5dacc9a5e708</t>
  </si>
  <si>
    <t>ch_YO51AovtEgt7WBGx</t>
  </si>
  <si>
    <t>E22896431202602260856vBYsFe6ca7m</t>
  </si>
  <si>
    <t>b7df0322-5f6e-47c8-89ae-5f876e01d751</t>
  </si>
  <si>
    <t>ch_QXaV21mi3fZPox2R</t>
  </si>
  <si>
    <t>E9040088820260226085556468126968</t>
  </si>
  <si>
    <t>95a64d5c-cac1-4c72-9a0e-f300228875ba</t>
  </si>
  <si>
    <t>ch_8BmQl7uegUN02KnZ</t>
  </si>
  <si>
    <t>E18236120202602260854s164ce560a7</t>
  </si>
  <si>
    <t>368b34aa-b89a-484a-ac34-ab54d4d1bf9d</t>
  </si>
  <si>
    <t>ch_y421AZDipcLmK8d0</t>
  </si>
  <si>
    <t>E22896431202602260850a4wazrOsEoW</t>
  </si>
  <si>
    <t>a24677fd-bdd8-47f1-b060-c399616841ec</t>
  </si>
  <si>
    <t>ch_2qbB5yAs5oFYYBZ4</t>
  </si>
  <si>
    <t>E00360305202602260847452ecf9cbf0</t>
  </si>
  <si>
    <t>57c1e07b-7379-4cf5-bdad-f30163f9ed19</t>
  </si>
  <si>
    <t>ch_XaM3OpdF6nS77Jjk</t>
  </si>
  <si>
    <t>E18236120202602260844s1622a353af</t>
  </si>
  <si>
    <t>3e81e53b-2ece-4f0c-bdfa-84fa6ef4c4d7</t>
  </si>
  <si>
    <t>ch_4jY9AZ2uqJCkL1pE</t>
  </si>
  <si>
    <t>E003603052026022608366d7e43524a5</t>
  </si>
  <si>
    <t>b4b518fd-da89-42f7-a3a7-99cbc94b4e88</t>
  </si>
  <si>
    <t>ch_qAZPrDuDAfA7yG06</t>
  </si>
  <si>
    <t>E27098060202602260833QaKvOKdRIzh</t>
  </si>
  <si>
    <t>58846a53-d7ce-4cbc-8ba1-efa8a49fae83</t>
  </si>
  <si>
    <t>ch_4Lxewb7cGHQNRjv1</t>
  </si>
  <si>
    <t>E0036030520260226082489475abdb96</t>
  </si>
  <si>
    <t>957df9c2-909b-4e51-a12e-df061c5b8499</t>
  </si>
  <si>
    <t>ch_mBQA5zYHzSDJloOb</t>
  </si>
  <si>
    <t>E60746948202602260821A2821eiidvY</t>
  </si>
  <si>
    <t>38b3781d-0b7d-452f-a7be-660c5ecc231b</t>
  </si>
  <si>
    <t>ch_QW35EPbiEZTjJ6wZ</t>
  </si>
  <si>
    <t>E0000000020260226081943258806249</t>
  </si>
  <si>
    <t>b15fc24f-ca52-41f5-9fca-7c246793a705</t>
  </si>
  <si>
    <t>ch_gyGWXL7FvxuEWvl6</t>
  </si>
  <si>
    <t>E27098060202602260815GtfUMx5pUKV</t>
  </si>
  <si>
    <t>efeafb6a-7850-42bb-bb47-d902b92e98da</t>
  </si>
  <si>
    <t>ch_2joXYRYumjTaLZyK</t>
  </si>
  <si>
    <t>E18236120202602260805s170ed4630f</t>
  </si>
  <si>
    <t>8c1f7103-8ed0-40d7-9345-d792bb03c8be</t>
  </si>
  <si>
    <t>ch_08NYpQRCyHgBXWe4</t>
  </si>
  <si>
    <t>E16501555202602260757dd003d6a0d3</t>
  </si>
  <si>
    <t>8e2d3a17-c517-4201-a0a8-a868e775ce11</t>
  </si>
  <si>
    <t>ch_b76pKqOGh1HZDRMJ</t>
  </si>
  <si>
    <t>E22896431202602260750OyEGaCoGP3Y</t>
  </si>
  <si>
    <t>07899790-e5a4-43b3-acdd-f04131fb7386</t>
  </si>
  <si>
    <t>ch_5eK7502I06FXXQLg</t>
  </si>
  <si>
    <t>E00416968202602260744D2pXyDODLt4</t>
  </si>
  <si>
    <t>a3dbbc44-9f5a-40b3-9585-d30c0aebbf1c</t>
  </si>
  <si>
    <t>ch_1DMz4MTKncRBOApa</t>
  </si>
  <si>
    <t>E9040088820260226074256467539370</t>
  </si>
  <si>
    <t>65383b3a-991a-4d40-bb4a-37ba233ec9b5</t>
  </si>
  <si>
    <t>ch_2LA6veaCRqhdlMPE</t>
  </si>
  <si>
    <t>E00416968202602260738zUvXfHVvJ6U</t>
  </si>
  <si>
    <t>4df7060e-22b3-40d3-826d-a98d1442af22</t>
  </si>
  <si>
    <t>ch_LpzDo8yTjWiX9amg</t>
  </si>
  <si>
    <t>E60746948202602260731A0321bREUJg</t>
  </si>
  <si>
    <t>13e54e91-aa4d-4d1b-ba0c-d43a7c936148</t>
  </si>
  <si>
    <t>ch_rm3dKWkugSL0KXJn</t>
  </si>
  <si>
    <t>E60746948202602260635A0995EGfMLg</t>
  </si>
  <si>
    <t>5cf9b325-d626-4448-985d-4a34d7d1f3a6</t>
  </si>
  <si>
    <t>ch_NDeW0ovigHzvX61l</t>
  </si>
  <si>
    <t>E00360305202602260602f0eedbb15ea</t>
  </si>
  <si>
    <t>8f00f3f3-f07c-4f8e-a023-61c3d109c8bb</t>
  </si>
  <si>
    <t>ch_yEa0z7VsAuXgLk6q</t>
  </si>
  <si>
    <t>E0000000020260226052952173560886</t>
  </si>
  <si>
    <t>28ddf49f-b471-4032-bfa4-57df9634fb68</t>
  </si>
  <si>
    <t>ch_ymvebwWInvTabjRL</t>
  </si>
  <si>
    <t>E270980602026022605196cPQLgqlK0P</t>
  </si>
  <si>
    <t>36d2e4d9-ef40-4889-9be7-31c99a45ece8</t>
  </si>
  <si>
    <t>ch_XQG6YYetaouDM6Ra</t>
  </si>
  <si>
    <t>E18236120202602260403s16b35f1da0</t>
  </si>
  <si>
    <t>1568bb3c-498d-4bf6-91e3-8520f354a489</t>
  </si>
  <si>
    <t>ch_ZW5dJqXsWuYGKo3B</t>
  </si>
  <si>
    <t>E18236120202602260347s061098ad87</t>
  </si>
  <si>
    <t>eacc9e8b-fe0a-4cdc-8596-cf178420eb82</t>
  </si>
  <si>
    <t>ch_m7gL05dtdGh3oPlW</t>
  </si>
  <si>
    <t>E18236120202602260332s070669f643</t>
  </si>
  <si>
    <t>cc2e3c78-6aa9-4c78-8cba-62e315133a9e</t>
  </si>
  <si>
    <t>ch_g8dDroEFEWIlKan1</t>
  </si>
  <si>
    <t>E0000000020260226032901434183943</t>
  </si>
  <si>
    <t>90c9d243-3f49-41ea-a48d-34a553611c62</t>
  </si>
  <si>
    <t>ch_j2bmQyQCY2TYm96d</t>
  </si>
  <si>
    <t>E18236120202602260319s10b62f3b78</t>
  </si>
  <si>
    <t>9fca2f46-ac9a-4fdb-a794-4bbacc887eed</t>
  </si>
  <si>
    <t>ch_XgWAqE7td8sW8Apd</t>
  </si>
  <si>
    <t>E31872495202602260315z51DJIOoqKb</t>
  </si>
  <si>
    <t>b28a7e8b-6f32-4335-af45-56ff5b53bec4</t>
  </si>
  <si>
    <t>ch_2mWVj3hlWhqYKQbg</t>
  </si>
  <si>
    <t>E31872495202602260313qolqAwkdNFb</t>
  </si>
  <si>
    <t>ac869afd-12da-45de-a599-83ab434377aa</t>
  </si>
  <si>
    <t>ch_z2vWLYSQru80baoy</t>
  </si>
  <si>
    <t>E18236120202602260308s031ad4933b</t>
  </si>
  <si>
    <t>Sequência</t>
  </si>
  <si>
    <t>Número</t>
  </si>
  <si>
    <t>R$ Total</t>
  </si>
  <si>
    <t>Staus</t>
  </si>
  <si>
    <t>Placa / Motorista</t>
  </si>
  <si>
    <t>Requisição</t>
  </si>
  <si>
    <t>Emissão</t>
  </si>
  <si>
    <t>Vencimento</t>
  </si>
  <si>
    <t>Caixa</t>
  </si>
  <si>
    <t>Turno</t>
  </si>
  <si>
    <t>Cliente</t>
  </si>
  <si>
    <t>1791107/1</t>
  </si>
  <si>
    <t>Em Aberto</t>
  </si>
  <si>
    <t>OJX-4G25</t>
  </si>
  <si>
    <t>NOVO HORIZONTE II</t>
  </si>
  <si>
    <t>PNH2PDV</t>
  </si>
  <si>
    <t>TERRAPLEN CONSTRUCOES E LOCACOES LTDA</t>
  </si>
  <si>
    <t>1791485/1</t>
  </si>
  <si>
    <t>PQM-1441/ALEXANDRE</t>
  </si>
  <si>
    <t>TECNAL - TECNOLOGIA AMBIENTAL EM ATERROS SANITARIOS LTDA</t>
  </si>
  <si>
    <t>1791674/1</t>
  </si>
  <si>
    <t>TSS-4F06/JUSCELINO</t>
  </si>
  <si>
    <t>PDV04-PC</t>
  </si>
  <si>
    <t>NH TRANSPORTES DE COMBUSTIVEL LTDA</t>
  </si>
  <si>
    <t>1791643/1</t>
  </si>
  <si>
    <t>RMV-9I74</t>
  </si>
  <si>
    <t>N GONCALVES DA SILVA</t>
  </si>
  <si>
    <t>1791462/1</t>
  </si>
  <si>
    <t>QGP-8H84</t>
  </si>
  <si>
    <t>PDV02-PC</t>
  </si>
  <si>
    <t>1791000/1</t>
  </si>
  <si>
    <t>MARCOS MACIEL DOS SANTOS</t>
  </si>
  <si>
    <t>1791382/1</t>
  </si>
  <si>
    <t>RQK-2C81</t>
  </si>
  <si>
    <t>ESTRELAO COMERCIO E REPRESENTACOES LTDA</t>
  </si>
  <si>
    <t>1791271/1</t>
  </si>
  <si>
    <t>EQC-6D99/SEBASTIAO</t>
  </si>
  <si>
    <t>A. C. COMERCIO DE PRODUTOS DE LIMPEZA LTDA</t>
  </si>
  <si>
    <t>1791663/1</t>
  </si>
  <si>
    <t>OJU-1615</t>
  </si>
  <si>
    <t>1791292/1</t>
  </si>
  <si>
    <t>MYS-9C97</t>
  </si>
  <si>
    <t>1791670/1</t>
  </si>
  <si>
    <t>RCX-2J09</t>
  </si>
  <si>
    <t>1791515/1</t>
  </si>
  <si>
    <t>RMZ-9H95</t>
  </si>
  <si>
    <t>1791212/1</t>
  </si>
  <si>
    <t>PRM-7711</t>
  </si>
  <si>
    <t>1791214/1</t>
  </si>
  <si>
    <t>TRA-0002</t>
  </si>
  <si>
    <t>1791749/1</t>
  </si>
  <si>
    <t>OIH-0746</t>
  </si>
  <si>
    <t>1791492/1</t>
  </si>
  <si>
    <t>RMY-6F07/LUIZ</t>
  </si>
  <si>
    <t>1792120/1</t>
  </si>
  <si>
    <t>1791449/1</t>
  </si>
  <si>
    <t>OWC-5E31/OZAIR</t>
  </si>
  <si>
    <t>1791204/1</t>
  </si>
  <si>
    <t>OJX-6E06</t>
  </si>
  <si>
    <t>1791861/1</t>
  </si>
  <si>
    <t>OJW-0B48/WANDERSON</t>
  </si>
  <si>
    <t>GERALDO PAIVA DOS SANTOS JUNIOR LTDA</t>
  </si>
  <si>
    <t>1791511/1</t>
  </si>
  <si>
    <t>RMY-6F09</t>
  </si>
  <si>
    <t>1791447/1</t>
  </si>
  <si>
    <t>ROC-0001/OZAIR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</si>
</sst>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_-[$R$-416]\ * #,##0.00_-;\-[$R$-416]\ * #,##0.00_-;_-[$R$-416]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1" fillId="0" borderId="2" xfId="0" applyFont="1" applyBorder="1" applyAlignment="1">
      <alignment horizontal="center" vertical="top"/>
    </xf>
    <xf numFmtId="164" fontId="0" fillId="0" borderId="0" xfId="0" applyNumberFormat="1"/>
    <xf numFmtId="164" fontId="0" fillId="0" borderId="1" xfId="0" applyNumberFormat="1" applyBorder="1"/>
    <xf numFmtId="164" fontId="2" fillId="2" borderId="1" xfId="0" applyNumberFormat="1" applyFont="1" applyFill="1" applyBorder="1"/>
    <xf numFmtId="4" fontId="0" fillId="0" borderId="0" xfId="0" applyNumberFormat="1"/>
    <xf numFmtId="8" fontId="0" fillId="0" borderId="0" xfId="0" applyNumberFormat="1"/>
    <xf numFmtId="22" fontId="0" fillId="0" borderId="0" xfId="0" applyNumberFormat="1"/>
    <xf numFmtId="14" fontId="0" fillId="0" borderId="0" xfId="0" applyNumberFormat="1"/>
    <xf numFmtId="20" fontId="0" fillId="0" borderId="0" xfId="0" applyNumberFormat="1"/>
    <xf numFmtId="21" fontId="0" fillId="0" borderId="0" xfId="0" applyNumberFormat="1"/>
    <xf numFmtId="11" fontId="0" fillId="0" borderId="0" xfId="0" applyNumberFormat="1"/>
  </cellXfs>
  <cellStyles count="2">
    <cellStyle name="Normal" xfId="0" builtinId="0"/>
    <cellStyle name="Normal 2" xfId="1" xr:uid="{E90C8F3E-2F9C-4F20-94CF-B1AEAC914F6E}"/>
  </cellStyles>
  <dxfs count="9"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FAFB69-0B8C-4B00-815A-20CA91101408}" name="Tabela1" displayName="Tabela1" ref="A1:H15" totalsRowShown="0" headerRowDxfId="8" headerRowBorderDxfId="7" tableBorderDxfId="6">
  <autoFilter ref="A1:H15" xr:uid="{3EFAFB69-0B8C-4B00-815A-20CA91101408}"/>
  <tableColumns count="8">
    <tableColumn id="1" xr3:uid="{3655301E-F4CA-4F60-9CC0-243DAD3D1B5D}" name="cod_pessoa"/>
    <tableColumn id="2" xr3:uid="{755A7A82-8912-44C8-81A7-188BA4452832}" name="nom_pessoa"/>
    <tableColumn id="3" xr3:uid="{58A7999C-31E3-4C58-9A1E-B5D8F605B9ED}" name="val_duplicata" dataDxfId="5"/>
    <tableColumn id="4" xr3:uid="{EE01A268-FDDE-44F0-8E1A-300BC77BED43}" name="Total bancos" dataDxfId="4">
      <calculatedColumnFormula>SUM(F2:H2)</calculatedColumnFormula>
    </tableColumn>
    <tableColumn id="5" xr3:uid="{E06731F7-8E87-4DD3-B0DA-CBDF73F0C58C}" name="DIF" dataDxfId="3">
      <calculatedColumnFormula>C2-D2</calculatedColumnFormula>
    </tableColumn>
    <tableColumn id="6" xr3:uid="{40FDCADB-EA13-4281-A618-9A4992E32452}" name="Stone" dataDxfId="2"/>
    <tableColumn id="7" xr3:uid="{869BA5DC-E27D-4C21-83DE-166B2E9A19E3}" name="Cielo" dataDxfId="1"/>
    <tableColumn id="8" xr3:uid="{E93897DC-7A94-4EBB-AA42-A9130F3FB337}" name="Si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C21" sqref="C21"/>
    </sheetView>
  </sheetViews>
  <sheetFormatPr defaultRowHeight="15" x14ac:dyDescent="0.25"/>
  <cols>
    <col min="1" max="1" width="15.85546875" bestFit="1" customWidth="1"/>
    <col min="2" max="2" width="48.28515625" bestFit="1" customWidth="1"/>
    <col min="3" max="3" width="17.28515625" bestFit="1" customWidth="1"/>
    <col min="4" max="4" width="16.85546875" bestFit="1" customWidth="1"/>
    <col min="5" max="6" width="13.28515625" bestFit="1" customWidth="1"/>
    <col min="7" max="7" width="12.140625" bestFit="1" customWidth="1"/>
    <col min="8" max="8" width="13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1710</v>
      </c>
      <c r="B2" t="s">
        <v>8</v>
      </c>
      <c r="C2" s="2">
        <v>991.6</v>
      </c>
      <c r="D2" s="2">
        <f t="shared" ref="D2:D15" si="0">SUM(F2:H2)</f>
        <v>991.6</v>
      </c>
      <c r="E2" s="2">
        <f t="shared" ref="E2:E15" si="1">C2-D2</f>
        <v>0</v>
      </c>
      <c r="F2" s="2">
        <v>0</v>
      </c>
      <c r="G2" s="2">
        <v>991.6</v>
      </c>
      <c r="H2" s="2">
        <v>0</v>
      </c>
    </row>
    <row r="3" spans="1:8" x14ac:dyDescent="0.25">
      <c r="A3">
        <v>6</v>
      </c>
      <c r="B3" t="s">
        <v>9</v>
      </c>
      <c r="C3" s="2">
        <v>434.78</v>
      </c>
      <c r="D3" s="2">
        <f t="shared" si="0"/>
        <v>434.78</v>
      </c>
      <c r="E3" s="2">
        <f t="shared" si="1"/>
        <v>0</v>
      </c>
      <c r="F3" s="2">
        <v>0</v>
      </c>
      <c r="G3" s="2">
        <v>434.78</v>
      </c>
      <c r="H3" s="2">
        <v>0</v>
      </c>
    </row>
    <row r="4" spans="1:8" x14ac:dyDescent="0.25">
      <c r="A4">
        <v>157</v>
      </c>
      <c r="B4" t="s">
        <v>10</v>
      </c>
      <c r="C4" s="2">
        <v>1302.1500000000001</v>
      </c>
      <c r="D4" s="2">
        <f t="shared" si="0"/>
        <v>1302.1500000000001</v>
      </c>
      <c r="E4" s="2">
        <f t="shared" si="1"/>
        <v>0</v>
      </c>
      <c r="F4" s="2">
        <v>0</v>
      </c>
      <c r="G4" s="2">
        <v>1302.1500000000001</v>
      </c>
      <c r="H4" s="2">
        <v>0</v>
      </c>
    </row>
    <row r="5" spans="1:8" x14ac:dyDescent="0.25">
      <c r="A5">
        <v>158</v>
      </c>
      <c r="B5" t="s">
        <v>11</v>
      </c>
      <c r="C5" s="2">
        <v>1127.6600000000001</v>
      </c>
      <c r="D5" s="2">
        <f t="shared" si="0"/>
        <v>1127.6600000000001</v>
      </c>
      <c r="E5" s="2">
        <f t="shared" si="1"/>
        <v>0</v>
      </c>
      <c r="F5" s="2">
        <v>0</v>
      </c>
      <c r="G5" s="2">
        <v>1127.6600000000001</v>
      </c>
      <c r="H5" s="2">
        <v>0</v>
      </c>
    </row>
    <row r="6" spans="1:8" x14ac:dyDescent="0.25">
      <c r="A6">
        <v>165</v>
      </c>
      <c r="B6" t="s">
        <v>12</v>
      </c>
      <c r="C6" s="2">
        <v>94.89</v>
      </c>
      <c r="D6" s="2">
        <f t="shared" si="0"/>
        <v>94.89</v>
      </c>
      <c r="E6" s="2">
        <f t="shared" si="1"/>
        <v>0</v>
      </c>
      <c r="F6" s="2">
        <v>0</v>
      </c>
      <c r="G6" s="2">
        <v>0</v>
      </c>
      <c r="H6" s="2">
        <v>94.89</v>
      </c>
    </row>
    <row r="7" spans="1:8" x14ac:dyDescent="0.25">
      <c r="A7">
        <v>172</v>
      </c>
      <c r="B7" t="s">
        <v>13</v>
      </c>
      <c r="C7" s="2">
        <v>7409.03</v>
      </c>
      <c r="D7" s="2">
        <f t="shared" si="0"/>
        <v>7409.03</v>
      </c>
      <c r="E7" s="2">
        <f t="shared" si="1"/>
        <v>0</v>
      </c>
      <c r="F7" s="2">
        <v>0</v>
      </c>
      <c r="G7" s="2">
        <v>7409.03</v>
      </c>
      <c r="H7" s="2">
        <v>0</v>
      </c>
    </row>
    <row r="8" spans="1:8" x14ac:dyDescent="0.25">
      <c r="A8">
        <v>128</v>
      </c>
      <c r="B8" t="s">
        <v>14</v>
      </c>
      <c r="C8" s="2">
        <v>6561.8</v>
      </c>
      <c r="D8" s="2">
        <f t="shared" si="0"/>
        <v>6561.8</v>
      </c>
      <c r="E8" s="2">
        <f t="shared" si="1"/>
        <v>0</v>
      </c>
      <c r="F8" s="2">
        <v>0</v>
      </c>
      <c r="G8" s="2">
        <v>6561.8</v>
      </c>
      <c r="H8" s="2">
        <v>0</v>
      </c>
    </row>
    <row r="9" spans="1:8" x14ac:dyDescent="0.25">
      <c r="A9">
        <v>169</v>
      </c>
      <c r="B9" t="s">
        <v>15</v>
      </c>
      <c r="C9" s="2">
        <v>1118.8900000000001</v>
      </c>
      <c r="D9" s="2">
        <f t="shared" si="0"/>
        <v>1118.8900000000001</v>
      </c>
      <c r="E9" s="2">
        <f t="shared" si="1"/>
        <v>0</v>
      </c>
      <c r="F9" s="2">
        <v>0</v>
      </c>
      <c r="G9" s="2">
        <v>1118.8900000000001</v>
      </c>
      <c r="H9" s="2">
        <v>0</v>
      </c>
    </row>
    <row r="10" spans="1:8" x14ac:dyDescent="0.25">
      <c r="A10">
        <v>171</v>
      </c>
      <c r="B10" t="s">
        <v>16</v>
      </c>
      <c r="C10" s="2">
        <v>1363.14</v>
      </c>
      <c r="D10" s="2">
        <f t="shared" si="0"/>
        <v>1363.1399999999999</v>
      </c>
      <c r="E10" s="2">
        <f t="shared" si="1"/>
        <v>0</v>
      </c>
      <c r="F10" s="2">
        <v>0</v>
      </c>
      <c r="G10" s="2">
        <v>0</v>
      </c>
      <c r="H10" s="2">
        <v>1363.1399999999999</v>
      </c>
    </row>
    <row r="11" spans="1:8" x14ac:dyDescent="0.25">
      <c r="A11">
        <v>2</v>
      </c>
      <c r="B11" t="s">
        <v>17</v>
      </c>
      <c r="C11" s="2">
        <v>3370.08</v>
      </c>
      <c r="D11" s="2">
        <f t="shared" si="0"/>
        <v>3370.08</v>
      </c>
      <c r="E11" s="2">
        <f t="shared" si="1"/>
        <v>0</v>
      </c>
      <c r="F11" s="2">
        <v>0</v>
      </c>
      <c r="G11" s="2">
        <v>3370.08</v>
      </c>
      <c r="H11" s="2">
        <v>0</v>
      </c>
    </row>
    <row r="12" spans="1:8" x14ac:dyDescent="0.25">
      <c r="A12">
        <v>3</v>
      </c>
      <c r="B12" t="s">
        <v>18</v>
      </c>
      <c r="C12" s="2">
        <v>3431.31</v>
      </c>
      <c r="D12" s="2">
        <f t="shared" si="0"/>
        <v>3431.31</v>
      </c>
      <c r="E12" s="2">
        <f t="shared" si="1"/>
        <v>0</v>
      </c>
      <c r="F12" s="2">
        <v>0</v>
      </c>
      <c r="G12" s="2">
        <v>3431.31</v>
      </c>
      <c r="H12" s="2">
        <v>0</v>
      </c>
    </row>
    <row r="13" spans="1:8" x14ac:dyDescent="0.25">
      <c r="A13">
        <v>2780</v>
      </c>
      <c r="B13" t="s">
        <v>19</v>
      </c>
      <c r="C13" s="2">
        <f>-64.5+414.06</f>
        <v>349.56</v>
      </c>
      <c r="D13" s="2">
        <f t="shared" si="0"/>
        <v>349.56</v>
      </c>
      <c r="E13" s="2">
        <f t="shared" si="1"/>
        <v>0</v>
      </c>
      <c r="F13" s="2">
        <v>0</v>
      </c>
      <c r="G13" s="2">
        <v>116.57</v>
      </c>
      <c r="H13" s="2">
        <v>232.99</v>
      </c>
    </row>
    <row r="14" spans="1:8" x14ac:dyDescent="0.25">
      <c r="A14">
        <v>4875</v>
      </c>
      <c r="B14" t="s">
        <v>20</v>
      </c>
      <c r="C14" s="2">
        <v>12485.56</v>
      </c>
      <c r="D14" s="2">
        <f t="shared" si="0"/>
        <v>12485.56</v>
      </c>
      <c r="E14" s="2">
        <f t="shared" si="1"/>
        <v>0</v>
      </c>
      <c r="F14" s="2">
        <v>12485.56</v>
      </c>
      <c r="G14" s="2">
        <v>0</v>
      </c>
      <c r="H14" s="2">
        <v>0</v>
      </c>
    </row>
    <row r="15" spans="1:8" x14ac:dyDescent="0.25">
      <c r="A15">
        <v>11</v>
      </c>
      <c r="B15" t="s">
        <v>21</v>
      </c>
      <c r="C15" s="2">
        <v>10868.66</v>
      </c>
      <c r="D15" s="2">
        <f t="shared" si="0"/>
        <v>10868.68</v>
      </c>
      <c r="E15" s="2">
        <f t="shared" si="1"/>
        <v>-2.0000000000436557E-2</v>
      </c>
      <c r="F15" s="2">
        <v>0</v>
      </c>
      <c r="G15" s="2">
        <v>0</v>
      </c>
      <c r="H15" s="2">
        <v>10868.68</v>
      </c>
    </row>
    <row r="16" spans="1:8" x14ac:dyDescent="0.25">
      <c r="C16" s="3">
        <f>SUBTOTAL(109,Tabela1[val_duplicata])</f>
        <v>50909.11</v>
      </c>
      <c r="D16" s="3" t="s">
        <v>58</v>
      </c>
    </row>
    <row r="17" spans="3:4" x14ac:dyDescent="0.25">
      <c r="C17" s="3">
        <v>16756</v>
      </c>
      <c r="D17" s="3" t="s">
        <v>59</v>
      </c>
    </row>
    <row r="18" spans="3:4" x14ac:dyDescent="0.25">
      <c r="C18" s="3">
        <v>15013.25</v>
      </c>
      <c r="D18" s="3" t="s">
        <v>60</v>
      </c>
    </row>
    <row r="19" spans="3:4" x14ac:dyDescent="0.25">
      <c r="C19" s="3">
        <v>0</v>
      </c>
      <c r="D19" s="3" t="s">
        <v>61</v>
      </c>
    </row>
    <row r="20" spans="3:4" x14ac:dyDescent="0.25">
      <c r="C20" s="3">
        <v>109</v>
      </c>
      <c r="D20" s="3" t="s">
        <v>62</v>
      </c>
    </row>
    <row r="21" spans="3:4" x14ac:dyDescent="0.25">
      <c r="C21" s="4">
        <f>SUM(C16:C20)</f>
        <v>82787.360000000001</v>
      </c>
      <c r="D21" s="4" t="s">
        <v>63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CD338-3A24-44CE-A415-3F1558AF0487}">
  <dimension ref="A1:L24"/>
  <sheetViews>
    <sheetView workbookViewId="0">
      <selection activeCell="D24" sqref="D24"/>
    </sheetView>
  </sheetViews>
  <sheetFormatPr defaultRowHeight="15" x14ac:dyDescent="0.25"/>
  <sheetData>
    <row r="1" spans="1:12" x14ac:dyDescent="0.25">
      <c r="A1" t="s">
        <v>1166</v>
      </c>
      <c r="B1" t="s">
        <v>1167</v>
      </c>
      <c r="C1" t="s">
        <v>1168</v>
      </c>
      <c r="D1" t="s">
        <v>1169</v>
      </c>
      <c r="E1" t="s">
        <v>1170</v>
      </c>
      <c r="F1" t="s">
        <v>1171</v>
      </c>
      <c r="G1" t="s">
        <v>1172</v>
      </c>
      <c r="H1" t="s">
        <v>1173</v>
      </c>
      <c r="I1" t="s">
        <v>80</v>
      </c>
      <c r="J1" t="s">
        <v>1174</v>
      </c>
      <c r="K1" t="s">
        <v>1175</v>
      </c>
      <c r="L1" t="s">
        <v>1176</v>
      </c>
    </row>
    <row r="2" spans="1:12" x14ac:dyDescent="0.25">
      <c r="A2">
        <v>4267546</v>
      </c>
      <c r="B2" t="s">
        <v>1177</v>
      </c>
      <c r="C2">
        <v>38.1</v>
      </c>
      <c r="D2" t="s">
        <v>1178</v>
      </c>
      <c r="E2" t="s">
        <v>1179</v>
      </c>
      <c r="G2" s="8">
        <v>46079</v>
      </c>
      <c r="H2" s="8">
        <v>46101</v>
      </c>
      <c r="I2" t="s">
        <v>1180</v>
      </c>
      <c r="J2" t="s">
        <v>1181</v>
      </c>
      <c r="K2">
        <v>21289</v>
      </c>
      <c r="L2" t="s">
        <v>1182</v>
      </c>
    </row>
    <row r="3" spans="1:12" x14ac:dyDescent="0.25">
      <c r="A3">
        <v>4268287</v>
      </c>
      <c r="B3" t="s">
        <v>1183</v>
      </c>
      <c r="C3">
        <v>709.99</v>
      </c>
      <c r="D3" t="s">
        <v>1178</v>
      </c>
      <c r="E3" t="s">
        <v>1184</v>
      </c>
      <c r="G3" s="8">
        <v>46079</v>
      </c>
      <c r="H3" s="8">
        <v>46109</v>
      </c>
      <c r="I3" t="s">
        <v>1180</v>
      </c>
      <c r="J3" t="s">
        <v>1181</v>
      </c>
      <c r="K3">
        <v>21288</v>
      </c>
      <c r="L3" t="s">
        <v>1185</v>
      </c>
    </row>
    <row r="4" spans="1:12" x14ac:dyDescent="0.25">
      <c r="A4">
        <v>4268635</v>
      </c>
      <c r="B4" t="s">
        <v>1186</v>
      </c>
      <c r="C4" s="5">
        <v>2771.69</v>
      </c>
      <c r="D4" t="s">
        <v>1178</v>
      </c>
      <c r="E4" t="s">
        <v>1187</v>
      </c>
      <c r="G4" s="8">
        <v>46079</v>
      </c>
      <c r="H4" s="8">
        <v>46079</v>
      </c>
      <c r="I4" t="s">
        <v>1180</v>
      </c>
      <c r="J4" t="s">
        <v>1188</v>
      </c>
      <c r="K4">
        <v>21292</v>
      </c>
      <c r="L4" t="s">
        <v>1189</v>
      </c>
    </row>
    <row r="5" spans="1:12" x14ac:dyDescent="0.25">
      <c r="A5">
        <v>4268562</v>
      </c>
      <c r="B5" t="s">
        <v>1190</v>
      </c>
      <c r="C5">
        <v>285.81</v>
      </c>
      <c r="D5" t="s">
        <v>1178</v>
      </c>
      <c r="E5" t="s">
        <v>1191</v>
      </c>
      <c r="G5" s="8">
        <v>46079</v>
      </c>
      <c r="H5" s="8">
        <v>46079</v>
      </c>
      <c r="I5" t="s">
        <v>1180</v>
      </c>
      <c r="J5" t="s">
        <v>1181</v>
      </c>
      <c r="K5">
        <v>21290</v>
      </c>
      <c r="L5" t="s">
        <v>1192</v>
      </c>
    </row>
    <row r="6" spans="1:12" x14ac:dyDescent="0.25">
      <c r="A6">
        <v>4268253</v>
      </c>
      <c r="B6" t="s">
        <v>1193</v>
      </c>
      <c r="C6">
        <v>809.64</v>
      </c>
      <c r="D6" t="s">
        <v>1178</v>
      </c>
      <c r="E6" t="s">
        <v>1194</v>
      </c>
      <c r="G6" s="8">
        <v>46079</v>
      </c>
      <c r="H6" s="8">
        <v>46109</v>
      </c>
      <c r="I6" t="s">
        <v>1180</v>
      </c>
      <c r="J6" t="s">
        <v>1195</v>
      </c>
      <c r="K6">
        <v>21293</v>
      </c>
      <c r="L6" t="s">
        <v>1185</v>
      </c>
    </row>
    <row r="7" spans="1:12" x14ac:dyDescent="0.25">
      <c r="A7">
        <v>4267417</v>
      </c>
      <c r="B7" t="s">
        <v>1196</v>
      </c>
      <c r="C7">
        <v>92.14</v>
      </c>
      <c r="D7" t="s">
        <v>1178</v>
      </c>
      <c r="G7" s="8">
        <v>46079</v>
      </c>
      <c r="H7" s="8">
        <v>46079</v>
      </c>
      <c r="I7" t="s">
        <v>1180</v>
      </c>
      <c r="J7" t="s">
        <v>1195</v>
      </c>
      <c r="K7">
        <v>21287</v>
      </c>
      <c r="L7" t="s">
        <v>1197</v>
      </c>
    </row>
    <row r="8" spans="1:12" x14ac:dyDescent="0.25">
      <c r="A8">
        <v>4268122</v>
      </c>
      <c r="B8" t="s">
        <v>1198</v>
      </c>
      <c r="C8" s="5">
        <v>1311.66</v>
      </c>
      <c r="D8" t="s">
        <v>1178</v>
      </c>
      <c r="E8" t="s">
        <v>1199</v>
      </c>
      <c r="G8" s="8">
        <v>46079</v>
      </c>
      <c r="H8" s="8">
        <v>46079</v>
      </c>
      <c r="I8" t="s">
        <v>1180</v>
      </c>
      <c r="J8" t="s">
        <v>1188</v>
      </c>
      <c r="K8">
        <v>21292</v>
      </c>
      <c r="L8" t="s">
        <v>1200</v>
      </c>
    </row>
    <row r="9" spans="1:12" x14ac:dyDescent="0.25">
      <c r="A9">
        <v>4267929</v>
      </c>
      <c r="B9" t="s">
        <v>1201</v>
      </c>
      <c r="C9">
        <v>279.83999999999997</v>
      </c>
      <c r="D9" t="s">
        <v>1178</v>
      </c>
      <c r="E9" t="s">
        <v>1202</v>
      </c>
      <c r="G9" s="8">
        <v>46079</v>
      </c>
      <c r="H9" s="8">
        <v>46079</v>
      </c>
      <c r="I9" t="s">
        <v>1180</v>
      </c>
      <c r="J9" t="s">
        <v>1181</v>
      </c>
      <c r="K9">
        <v>21288</v>
      </c>
      <c r="L9" t="s">
        <v>1203</v>
      </c>
    </row>
    <row r="10" spans="1:12" x14ac:dyDescent="0.25">
      <c r="A10">
        <v>4268611</v>
      </c>
      <c r="B10" t="s">
        <v>1204</v>
      </c>
      <c r="C10">
        <v>934.2</v>
      </c>
      <c r="D10" t="s">
        <v>1178</v>
      </c>
      <c r="E10" t="s">
        <v>1205</v>
      </c>
      <c r="G10" s="8">
        <v>46079</v>
      </c>
      <c r="H10" s="8">
        <v>46109</v>
      </c>
      <c r="I10" t="s">
        <v>1180</v>
      </c>
      <c r="J10" t="s">
        <v>1181</v>
      </c>
      <c r="K10">
        <v>21291</v>
      </c>
      <c r="L10" t="s">
        <v>1185</v>
      </c>
    </row>
    <row r="11" spans="1:12" x14ac:dyDescent="0.25">
      <c r="A11">
        <v>4267970</v>
      </c>
      <c r="B11" t="s">
        <v>1206</v>
      </c>
      <c r="C11">
        <v>558.21</v>
      </c>
      <c r="D11" t="s">
        <v>1178</v>
      </c>
      <c r="E11" t="s">
        <v>1207</v>
      </c>
      <c r="G11" s="8">
        <v>46079</v>
      </c>
      <c r="H11" s="8">
        <v>46079</v>
      </c>
      <c r="I11" t="s">
        <v>1180</v>
      </c>
      <c r="J11" t="s">
        <v>1188</v>
      </c>
      <c r="K11">
        <v>21292</v>
      </c>
      <c r="L11" t="s">
        <v>1192</v>
      </c>
    </row>
    <row r="12" spans="1:12" x14ac:dyDescent="0.25">
      <c r="A12">
        <v>4268628</v>
      </c>
      <c r="B12" t="s">
        <v>1208</v>
      </c>
      <c r="C12" s="5">
        <v>1180.57</v>
      </c>
      <c r="D12" t="s">
        <v>1178</v>
      </c>
      <c r="E12" t="s">
        <v>1209</v>
      </c>
      <c r="G12" s="8">
        <v>46079</v>
      </c>
      <c r="H12" s="8">
        <v>46109</v>
      </c>
      <c r="I12" t="s">
        <v>1180</v>
      </c>
      <c r="J12" t="s">
        <v>1181</v>
      </c>
      <c r="K12">
        <v>21290</v>
      </c>
      <c r="L12" t="s">
        <v>1185</v>
      </c>
    </row>
    <row r="13" spans="1:12" x14ac:dyDescent="0.25">
      <c r="A13">
        <v>4268333</v>
      </c>
      <c r="B13" t="s">
        <v>1210</v>
      </c>
      <c r="C13">
        <v>996.48</v>
      </c>
      <c r="D13" t="s">
        <v>1178</v>
      </c>
      <c r="E13" t="s">
        <v>1211</v>
      </c>
      <c r="G13" s="8">
        <v>46079</v>
      </c>
      <c r="H13" s="8">
        <v>46109</v>
      </c>
      <c r="I13" t="s">
        <v>1180</v>
      </c>
      <c r="J13" t="s">
        <v>1181</v>
      </c>
      <c r="K13">
        <v>21289</v>
      </c>
      <c r="L13" t="s">
        <v>1185</v>
      </c>
    </row>
    <row r="14" spans="1:12" x14ac:dyDescent="0.25">
      <c r="A14">
        <v>4267741</v>
      </c>
      <c r="B14" t="s">
        <v>1212</v>
      </c>
      <c r="C14">
        <v>847.07</v>
      </c>
      <c r="D14" t="s">
        <v>1178</v>
      </c>
      <c r="E14" t="s">
        <v>1213</v>
      </c>
      <c r="G14" s="8">
        <v>46079</v>
      </c>
      <c r="H14" s="8">
        <v>46109</v>
      </c>
      <c r="I14" t="s">
        <v>1180</v>
      </c>
      <c r="J14" t="s">
        <v>1188</v>
      </c>
      <c r="K14">
        <v>21292</v>
      </c>
      <c r="L14" t="s">
        <v>1185</v>
      </c>
    </row>
    <row r="15" spans="1:12" x14ac:dyDescent="0.25">
      <c r="A15">
        <v>4267744</v>
      </c>
      <c r="B15" t="s">
        <v>1214</v>
      </c>
      <c r="C15">
        <v>367.45</v>
      </c>
      <c r="D15" t="s">
        <v>1178</v>
      </c>
      <c r="E15" t="s">
        <v>1215</v>
      </c>
      <c r="G15" s="8">
        <v>46079</v>
      </c>
      <c r="H15" s="8">
        <v>46109</v>
      </c>
      <c r="I15" t="s">
        <v>1180</v>
      </c>
      <c r="J15" t="s">
        <v>1188</v>
      </c>
      <c r="K15">
        <v>21292</v>
      </c>
      <c r="L15" t="s">
        <v>1185</v>
      </c>
    </row>
    <row r="16" spans="1:12" x14ac:dyDescent="0.25">
      <c r="A16">
        <v>4268767</v>
      </c>
      <c r="B16" t="s">
        <v>1216</v>
      </c>
      <c r="C16">
        <v>934.2</v>
      </c>
      <c r="D16" t="s">
        <v>1178</v>
      </c>
      <c r="E16" t="s">
        <v>1217</v>
      </c>
      <c r="G16" s="8">
        <v>46079</v>
      </c>
      <c r="H16" s="8">
        <v>46109</v>
      </c>
      <c r="I16" t="s">
        <v>1180</v>
      </c>
      <c r="J16" t="s">
        <v>1181</v>
      </c>
      <c r="K16">
        <v>21291</v>
      </c>
      <c r="L16" t="s">
        <v>1185</v>
      </c>
    </row>
    <row r="17" spans="1:12" x14ac:dyDescent="0.25">
      <c r="A17">
        <v>4268293</v>
      </c>
      <c r="B17" t="s">
        <v>1218</v>
      </c>
      <c r="C17">
        <v>797.18</v>
      </c>
      <c r="D17" t="s">
        <v>1178</v>
      </c>
      <c r="E17" t="s">
        <v>1219</v>
      </c>
      <c r="G17" s="8">
        <v>46079</v>
      </c>
      <c r="H17" s="8">
        <v>46109</v>
      </c>
      <c r="I17" t="s">
        <v>1180</v>
      </c>
      <c r="J17" t="s">
        <v>1181</v>
      </c>
      <c r="K17">
        <v>21288</v>
      </c>
      <c r="L17" t="s">
        <v>1185</v>
      </c>
    </row>
    <row r="18" spans="1:12" x14ac:dyDescent="0.25">
      <c r="A18">
        <v>4269402</v>
      </c>
      <c r="B18" t="s">
        <v>1220</v>
      </c>
      <c r="C18">
        <v>202.06</v>
      </c>
      <c r="D18" t="s">
        <v>1178</v>
      </c>
      <c r="G18" s="8">
        <v>46079</v>
      </c>
      <c r="H18" s="8">
        <v>46079</v>
      </c>
      <c r="I18" t="s">
        <v>1180</v>
      </c>
      <c r="J18" t="s">
        <v>1195</v>
      </c>
      <c r="K18">
        <v>21296</v>
      </c>
      <c r="L18" t="s">
        <v>1197</v>
      </c>
    </row>
    <row r="19" spans="1:12" x14ac:dyDescent="0.25">
      <c r="A19">
        <v>4268219</v>
      </c>
      <c r="B19" t="s">
        <v>1221</v>
      </c>
      <c r="C19">
        <v>560.52</v>
      </c>
      <c r="D19" t="s">
        <v>1178</v>
      </c>
      <c r="E19" t="s">
        <v>1222</v>
      </c>
      <c r="G19" s="8">
        <v>46079</v>
      </c>
      <c r="H19" s="8">
        <v>46109</v>
      </c>
      <c r="I19" t="s">
        <v>1180</v>
      </c>
      <c r="J19" t="s">
        <v>1181</v>
      </c>
      <c r="K19">
        <v>21288</v>
      </c>
      <c r="L19" t="s">
        <v>1185</v>
      </c>
    </row>
    <row r="20" spans="1:12" x14ac:dyDescent="0.25">
      <c r="A20">
        <v>4267705</v>
      </c>
      <c r="B20" t="s">
        <v>1223</v>
      </c>
      <c r="C20">
        <v>57.34</v>
      </c>
      <c r="D20" t="s">
        <v>1178</v>
      </c>
      <c r="E20" t="s">
        <v>1224</v>
      </c>
      <c r="G20" s="8">
        <v>46079</v>
      </c>
      <c r="H20" s="8">
        <v>46109</v>
      </c>
      <c r="I20" t="s">
        <v>1180</v>
      </c>
      <c r="J20" t="s">
        <v>1188</v>
      </c>
      <c r="K20">
        <v>21292</v>
      </c>
      <c r="L20" t="s">
        <v>1185</v>
      </c>
    </row>
    <row r="21" spans="1:12" x14ac:dyDescent="0.25">
      <c r="A21">
        <v>4268987</v>
      </c>
      <c r="B21" t="s">
        <v>1225</v>
      </c>
      <c r="C21">
        <v>86.17</v>
      </c>
      <c r="D21" t="s">
        <v>1178</v>
      </c>
      <c r="E21" t="s">
        <v>1226</v>
      </c>
      <c r="G21" s="8">
        <v>46079</v>
      </c>
      <c r="H21" s="8">
        <v>46079</v>
      </c>
      <c r="I21" t="s">
        <v>1180</v>
      </c>
      <c r="J21" t="s">
        <v>1195</v>
      </c>
      <c r="K21">
        <v>21294</v>
      </c>
      <c r="L21" t="s">
        <v>1227</v>
      </c>
    </row>
    <row r="22" spans="1:12" x14ac:dyDescent="0.25">
      <c r="A22">
        <v>4268320</v>
      </c>
      <c r="B22" t="s">
        <v>1228</v>
      </c>
      <c r="C22">
        <v>809.77</v>
      </c>
      <c r="D22" t="s">
        <v>1178</v>
      </c>
      <c r="E22" t="s">
        <v>1229</v>
      </c>
      <c r="G22" s="8">
        <v>46079</v>
      </c>
      <c r="H22" s="8">
        <v>46109</v>
      </c>
      <c r="I22" t="s">
        <v>1180</v>
      </c>
      <c r="J22" t="s">
        <v>1181</v>
      </c>
      <c r="K22">
        <v>21290</v>
      </c>
      <c r="L22" t="s">
        <v>1185</v>
      </c>
    </row>
    <row r="23" spans="1:12" x14ac:dyDescent="0.25">
      <c r="A23">
        <v>4268218</v>
      </c>
      <c r="B23" t="s">
        <v>1230</v>
      </c>
      <c r="C23">
        <v>383.16</v>
      </c>
      <c r="D23" t="s">
        <v>1178</v>
      </c>
      <c r="E23" t="s">
        <v>1231</v>
      </c>
      <c r="G23" s="8">
        <v>46079</v>
      </c>
      <c r="H23" s="8">
        <v>46109</v>
      </c>
      <c r="I23" t="s">
        <v>1180</v>
      </c>
      <c r="J23" t="s">
        <v>1181</v>
      </c>
      <c r="K23">
        <v>21288</v>
      </c>
      <c r="L23" t="s">
        <v>1185</v>
      </c>
    </row>
    <row r="24" spans="1:12" x14ac:dyDescent="0.25">
      <c r="C24">
        <f>SUM(C2:C23)</f>
        <v>15013.250000000002</v>
      </c>
      <c r="D24">
        <f>COUNT(C2:C23)</f>
        <v>22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49C88-E10C-4433-BFE2-35230EE90F34}">
  <dimension ref="A1:K298"/>
  <sheetViews>
    <sheetView topLeftCell="A156" workbookViewId="0">
      <selection activeCell="H188" sqref="H188"/>
    </sheetView>
  </sheetViews>
  <sheetFormatPr defaultRowHeight="15" x14ac:dyDescent="0.25"/>
  <sheetData>
    <row r="1" spans="1:11" x14ac:dyDescent="0.25">
      <c r="A1" t="s">
        <v>268</v>
      </c>
      <c r="B1" t="s">
        <v>269</v>
      </c>
      <c r="C1" t="s">
        <v>270</v>
      </c>
      <c r="D1" t="s">
        <v>271</v>
      </c>
      <c r="E1" t="s">
        <v>272</v>
      </c>
      <c r="F1" t="s">
        <v>273</v>
      </c>
      <c r="G1" t="s">
        <v>65</v>
      </c>
      <c r="I1" t="s">
        <v>57</v>
      </c>
      <c r="J1" t="s">
        <v>1</v>
      </c>
      <c r="K1" t="s">
        <v>33</v>
      </c>
    </row>
    <row r="2" spans="1:11" x14ac:dyDescent="0.25">
      <c r="A2" s="8">
        <v>46079</v>
      </c>
      <c r="B2" s="10">
        <v>0.97015046296296292</v>
      </c>
      <c r="C2" t="s">
        <v>290</v>
      </c>
      <c r="D2" t="s">
        <v>275</v>
      </c>
      <c r="E2" t="s">
        <v>291</v>
      </c>
      <c r="F2" t="s">
        <v>292</v>
      </c>
      <c r="G2" s="6">
        <v>2.79</v>
      </c>
      <c r="H2" s="6">
        <f>G2-I2</f>
        <v>0</v>
      </c>
      <c r="I2">
        <v>2.79</v>
      </c>
      <c r="J2" t="s">
        <v>30</v>
      </c>
      <c r="K2" t="s">
        <v>35</v>
      </c>
    </row>
    <row r="3" spans="1:11" x14ac:dyDescent="0.25">
      <c r="A3" s="8">
        <v>46079</v>
      </c>
      <c r="B3" s="10">
        <v>0.96803240740740737</v>
      </c>
      <c r="C3" t="s">
        <v>293</v>
      </c>
      <c r="D3" t="s">
        <v>275</v>
      </c>
      <c r="E3" t="s">
        <v>294</v>
      </c>
      <c r="F3" t="s">
        <v>295</v>
      </c>
      <c r="G3" s="6">
        <v>4.4800000000000004</v>
      </c>
      <c r="H3" s="6">
        <f t="shared" ref="H3:H66" si="0">G3-I3</f>
        <v>0</v>
      </c>
      <c r="I3">
        <v>4.4800000000000004</v>
      </c>
      <c r="J3" t="s">
        <v>30</v>
      </c>
      <c r="K3" t="s">
        <v>35</v>
      </c>
    </row>
    <row r="4" spans="1:11" x14ac:dyDescent="0.25">
      <c r="A4" s="8">
        <v>46079</v>
      </c>
      <c r="B4" s="10">
        <v>0.75694444444444442</v>
      </c>
      <c r="C4" t="s">
        <v>434</v>
      </c>
      <c r="D4" t="s">
        <v>275</v>
      </c>
      <c r="E4" t="s">
        <v>435</v>
      </c>
      <c r="F4" t="s">
        <v>436</v>
      </c>
      <c r="G4" s="6">
        <v>4.82</v>
      </c>
      <c r="H4" s="6">
        <f t="shared" si="0"/>
        <v>0</v>
      </c>
      <c r="I4">
        <v>4.82</v>
      </c>
      <c r="J4" t="s">
        <v>29</v>
      </c>
      <c r="K4" t="s">
        <v>35</v>
      </c>
    </row>
    <row r="5" spans="1:11" x14ac:dyDescent="0.25">
      <c r="A5" s="8">
        <v>46079</v>
      </c>
      <c r="B5" s="10">
        <v>0.89894675925925926</v>
      </c>
      <c r="C5" t="s">
        <v>344</v>
      </c>
      <c r="D5" t="s">
        <v>275</v>
      </c>
      <c r="E5" t="s">
        <v>345</v>
      </c>
      <c r="F5" t="s">
        <v>346</v>
      </c>
      <c r="G5" s="6">
        <v>8</v>
      </c>
      <c r="H5" s="6">
        <f t="shared" si="0"/>
        <v>0</v>
      </c>
      <c r="I5">
        <v>8</v>
      </c>
      <c r="J5" t="s">
        <v>30</v>
      </c>
      <c r="K5" t="s">
        <v>35</v>
      </c>
    </row>
    <row r="6" spans="1:11" x14ac:dyDescent="0.25">
      <c r="A6" s="8">
        <v>46079</v>
      </c>
      <c r="B6" s="10">
        <v>9.7037037037037033E-2</v>
      </c>
      <c r="C6" t="s">
        <v>1139</v>
      </c>
      <c r="D6" t="s">
        <v>275</v>
      </c>
      <c r="E6" t="s">
        <v>1140</v>
      </c>
      <c r="F6" t="s">
        <v>1141</v>
      </c>
      <c r="G6" s="6">
        <v>8</v>
      </c>
      <c r="H6" s="6">
        <f t="shared" si="0"/>
        <v>0</v>
      </c>
      <c r="I6">
        <v>8</v>
      </c>
      <c r="J6" t="s">
        <v>31</v>
      </c>
      <c r="K6" t="s">
        <v>35</v>
      </c>
    </row>
    <row r="7" spans="1:11" x14ac:dyDescent="0.25">
      <c r="A7" s="8">
        <v>46079</v>
      </c>
      <c r="B7" s="10">
        <v>0.93847222222222226</v>
      </c>
      <c r="C7" t="s">
        <v>314</v>
      </c>
      <c r="D7" t="s">
        <v>275</v>
      </c>
      <c r="E7" t="s">
        <v>315</v>
      </c>
      <c r="F7" t="s">
        <v>316</v>
      </c>
      <c r="G7" s="6">
        <v>10</v>
      </c>
      <c r="H7" s="6">
        <f t="shared" si="0"/>
        <v>0</v>
      </c>
      <c r="I7">
        <v>10</v>
      </c>
      <c r="J7" t="s">
        <v>22</v>
      </c>
      <c r="K7" t="s">
        <v>35</v>
      </c>
    </row>
    <row r="8" spans="1:11" x14ac:dyDescent="0.25">
      <c r="A8" s="8">
        <v>46079</v>
      </c>
      <c r="B8" s="10">
        <v>0.92188657407407404</v>
      </c>
      <c r="C8" t="s">
        <v>329</v>
      </c>
      <c r="D8" t="s">
        <v>275</v>
      </c>
      <c r="E8" t="s">
        <v>330</v>
      </c>
      <c r="F8" t="s">
        <v>331</v>
      </c>
      <c r="G8" s="6">
        <v>10</v>
      </c>
      <c r="H8" s="6">
        <f t="shared" si="0"/>
        <v>0</v>
      </c>
      <c r="I8">
        <v>10</v>
      </c>
      <c r="J8" t="s">
        <v>23</v>
      </c>
      <c r="K8" t="s">
        <v>35</v>
      </c>
    </row>
    <row r="9" spans="1:11" x14ac:dyDescent="0.25">
      <c r="A9" s="8">
        <v>46079</v>
      </c>
      <c r="B9" s="10">
        <v>0.76288194444444446</v>
      </c>
      <c r="C9" t="s">
        <v>425</v>
      </c>
      <c r="D9" t="s">
        <v>275</v>
      </c>
      <c r="E9" t="s">
        <v>426</v>
      </c>
      <c r="F9" t="s">
        <v>427</v>
      </c>
      <c r="G9" s="6">
        <v>10</v>
      </c>
      <c r="H9" s="6">
        <f t="shared" si="0"/>
        <v>0</v>
      </c>
      <c r="I9">
        <v>10</v>
      </c>
      <c r="J9" t="s">
        <v>23</v>
      </c>
      <c r="K9" t="s">
        <v>35</v>
      </c>
    </row>
    <row r="10" spans="1:11" x14ac:dyDescent="0.25">
      <c r="A10" s="8">
        <v>46079</v>
      </c>
      <c r="B10" s="10">
        <v>0.70125000000000004</v>
      </c>
      <c r="C10" t="s">
        <v>509</v>
      </c>
      <c r="D10" t="s">
        <v>275</v>
      </c>
      <c r="E10" t="s">
        <v>510</v>
      </c>
      <c r="F10" t="s">
        <v>511</v>
      </c>
      <c r="G10" s="6">
        <v>10</v>
      </c>
      <c r="H10" s="6">
        <f t="shared" si="0"/>
        <v>0</v>
      </c>
      <c r="I10">
        <v>10</v>
      </c>
      <c r="J10" t="s">
        <v>23</v>
      </c>
      <c r="K10" t="s">
        <v>35</v>
      </c>
    </row>
    <row r="11" spans="1:11" x14ac:dyDescent="0.25">
      <c r="A11" s="8">
        <v>46079</v>
      </c>
      <c r="B11" s="10">
        <v>0.68722222222222218</v>
      </c>
      <c r="C11" t="s">
        <v>533</v>
      </c>
      <c r="D11" t="s">
        <v>275</v>
      </c>
      <c r="E11" t="s">
        <v>534</v>
      </c>
      <c r="F11" t="s">
        <v>535</v>
      </c>
      <c r="G11" s="6">
        <v>10</v>
      </c>
      <c r="H11" s="6">
        <f t="shared" si="0"/>
        <v>0</v>
      </c>
      <c r="I11">
        <v>10</v>
      </c>
      <c r="J11" t="s">
        <v>24</v>
      </c>
      <c r="K11" t="s">
        <v>35</v>
      </c>
    </row>
    <row r="12" spans="1:11" x14ac:dyDescent="0.25">
      <c r="A12" s="8">
        <v>46079</v>
      </c>
      <c r="B12" s="10">
        <v>0.59280092592592593</v>
      </c>
      <c r="C12" t="s">
        <v>650</v>
      </c>
      <c r="D12" t="s">
        <v>275</v>
      </c>
      <c r="E12" t="s">
        <v>651</v>
      </c>
      <c r="F12" t="s">
        <v>652</v>
      </c>
      <c r="G12" s="6">
        <v>10</v>
      </c>
      <c r="H12" s="6">
        <f t="shared" si="0"/>
        <v>0</v>
      </c>
      <c r="I12">
        <v>10</v>
      </c>
      <c r="J12" t="s">
        <v>24</v>
      </c>
      <c r="K12" t="s">
        <v>35</v>
      </c>
    </row>
    <row r="13" spans="1:11" x14ac:dyDescent="0.25">
      <c r="A13" s="8">
        <v>46079</v>
      </c>
      <c r="B13" s="10">
        <v>0.58537037037037032</v>
      </c>
      <c r="C13" t="s">
        <v>662</v>
      </c>
      <c r="D13" t="s">
        <v>275</v>
      </c>
      <c r="E13" t="s">
        <v>663</v>
      </c>
      <c r="F13" t="s">
        <v>664</v>
      </c>
      <c r="G13" s="6">
        <v>10</v>
      </c>
      <c r="H13" s="6">
        <f t="shared" si="0"/>
        <v>0</v>
      </c>
      <c r="I13">
        <v>10</v>
      </c>
      <c r="J13" t="s">
        <v>24</v>
      </c>
      <c r="K13" t="s">
        <v>35</v>
      </c>
    </row>
    <row r="14" spans="1:11" x14ac:dyDescent="0.25">
      <c r="A14" s="8">
        <v>46079</v>
      </c>
      <c r="B14" s="10">
        <v>0.57789351851851856</v>
      </c>
      <c r="C14" t="s">
        <v>671</v>
      </c>
      <c r="D14" t="s">
        <v>275</v>
      </c>
      <c r="E14" t="s">
        <v>672</v>
      </c>
      <c r="F14" t="s">
        <v>673</v>
      </c>
      <c r="G14" s="6">
        <v>10</v>
      </c>
      <c r="H14" s="6">
        <f t="shared" si="0"/>
        <v>0</v>
      </c>
      <c r="I14">
        <v>10</v>
      </c>
      <c r="J14" t="s">
        <v>25</v>
      </c>
      <c r="K14" t="s">
        <v>35</v>
      </c>
    </row>
    <row r="15" spans="1:11" x14ac:dyDescent="0.25">
      <c r="A15" s="8">
        <v>46079</v>
      </c>
      <c r="B15" s="10">
        <v>0.49950231481481483</v>
      </c>
      <c r="C15" t="s">
        <v>752</v>
      </c>
      <c r="D15" t="s">
        <v>275</v>
      </c>
      <c r="E15" t="s">
        <v>753</v>
      </c>
      <c r="F15" t="s">
        <v>754</v>
      </c>
      <c r="G15" s="6">
        <v>10</v>
      </c>
      <c r="H15" s="6">
        <f t="shared" si="0"/>
        <v>0</v>
      </c>
      <c r="I15">
        <v>10</v>
      </c>
      <c r="J15" t="s">
        <v>26</v>
      </c>
      <c r="K15" t="s">
        <v>35</v>
      </c>
    </row>
    <row r="16" spans="1:11" x14ac:dyDescent="0.25">
      <c r="A16" s="8">
        <v>46079</v>
      </c>
      <c r="B16" s="10">
        <v>0.45771990740740742</v>
      </c>
      <c r="C16" t="s">
        <v>794</v>
      </c>
      <c r="D16" t="s">
        <v>275</v>
      </c>
      <c r="E16" t="s">
        <v>795</v>
      </c>
      <c r="F16" t="s">
        <v>796</v>
      </c>
      <c r="G16" s="6">
        <v>10</v>
      </c>
      <c r="H16" s="6">
        <f t="shared" si="0"/>
        <v>0</v>
      </c>
      <c r="I16">
        <v>10</v>
      </c>
      <c r="J16" t="s">
        <v>26</v>
      </c>
      <c r="K16" t="s">
        <v>35</v>
      </c>
    </row>
    <row r="17" spans="1:11" x14ac:dyDescent="0.25">
      <c r="A17" s="8">
        <v>46079</v>
      </c>
      <c r="B17" s="10">
        <v>0.41626157407407405</v>
      </c>
      <c r="C17" t="s">
        <v>851</v>
      </c>
      <c r="D17" t="s">
        <v>275</v>
      </c>
      <c r="E17" t="s">
        <v>852</v>
      </c>
      <c r="F17" t="s">
        <v>853</v>
      </c>
      <c r="G17" s="6">
        <v>10</v>
      </c>
      <c r="H17" s="6">
        <f t="shared" si="0"/>
        <v>0</v>
      </c>
      <c r="I17">
        <v>10</v>
      </c>
      <c r="J17" t="s">
        <v>26</v>
      </c>
      <c r="K17" t="s">
        <v>35</v>
      </c>
    </row>
    <row r="18" spans="1:11" x14ac:dyDescent="0.25">
      <c r="A18" s="8">
        <v>46079</v>
      </c>
      <c r="B18" s="10">
        <v>0.41092592592592592</v>
      </c>
      <c r="C18" t="s">
        <v>866</v>
      </c>
      <c r="D18" t="s">
        <v>275</v>
      </c>
      <c r="E18" t="s">
        <v>867</v>
      </c>
      <c r="F18" t="s">
        <v>868</v>
      </c>
      <c r="G18" s="6">
        <v>10</v>
      </c>
      <c r="H18" s="6">
        <f t="shared" si="0"/>
        <v>0</v>
      </c>
      <c r="I18">
        <v>10</v>
      </c>
      <c r="J18" t="s">
        <v>27</v>
      </c>
      <c r="K18" t="s">
        <v>35</v>
      </c>
    </row>
    <row r="19" spans="1:11" x14ac:dyDescent="0.25">
      <c r="A19" s="8">
        <v>46079</v>
      </c>
      <c r="B19" s="10">
        <v>0.40665509259259258</v>
      </c>
      <c r="C19" t="s">
        <v>884</v>
      </c>
      <c r="D19" t="s">
        <v>275</v>
      </c>
      <c r="E19" t="s">
        <v>885</v>
      </c>
      <c r="F19" t="s">
        <v>886</v>
      </c>
      <c r="G19" s="6">
        <v>10</v>
      </c>
      <c r="H19" s="6">
        <f t="shared" si="0"/>
        <v>0</v>
      </c>
      <c r="I19">
        <v>10</v>
      </c>
      <c r="J19" t="s">
        <v>27</v>
      </c>
      <c r="K19" t="s">
        <v>35</v>
      </c>
    </row>
    <row r="20" spans="1:11" x14ac:dyDescent="0.25">
      <c r="A20" s="8">
        <v>46079</v>
      </c>
      <c r="B20" s="10">
        <v>0.35603009259259261</v>
      </c>
      <c r="C20" t="s">
        <v>962</v>
      </c>
      <c r="D20" t="s">
        <v>275</v>
      </c>
      <c r="E20" t="s">
        <v>963</v>
      </c>
      <c r="F20" t="s">
        <v>964</v>
      </c>
      <c r="G20" s="6">
        <v>10</v>
      </c>
      <c r="H20" s="6">
        <f t="shared" si="0"/>
        <v>0</v>
      </c>
      <c r="I20">
        <v>10</v>
      </c>
      <c r="J20" t="s">
        <v>27</v>
      </c>
      <c r="K20" t="s">
        <v>35</v>
      </c>
    </row>
    <row r="21" spans="1:11" x14ac:dyDescent="0.25">
      <c r="A21" s="8">
        <v>46079</v>
      </c>
      <c r="B21" s="10">
        <v>0.30509259259259258</v>
      </c>
      <c r="C21" t="s">
        <v>1007</v>
      </c>
      <c r="D21" t="s">
        <v>275</v>
      </c>
      <c r="E21" t="s">
        <v>1008</v>
      </c>
      <c r="F21" t="s">
        <v>1009</v>
      </c>
      <c r="G21" s="6">
        <v>10</v>
      </c>
      <c r="H21" s="6">
        <f t="shared" si="0"/>
        <v>0</v>
      </c>
      <c r="I21">
        <v>10</v>
      </c>
      <c r="J21" t="s">
        <v>29</v>
      </c>
      <c r="K21" t="s">
        <v>35</v>
      </c>
    </row>
    <row r="22" spans="1:11" x14ac:dyDescent="0.25">
      <c r="A22" s="8">
        <v>46079</v>
      </c>
      <c r="B22" s="10">
        <v>0.28493055555555558</v>
      </c>
      <c r="C22" t="s">
        <v>1037</v>
      </c>
      <c r="D22" t="s">
        <v>275</v>
      </c>
      <c r="E22" t="s">
        <v>1038</v>
      </c>
      <c r="F22" t="s">
        <v>1039</v>
      </c>
      <c r="G22" s="6">
        <v>10</v>
      </c>
      <c r="H22" s="6">
        <f t="shared" si="0"/>
        <v>0</v>
      </c>
      <c r="I22">
        <v>10</v>
      </c>
      <c r="J22" t="s">
        <v>30</v>
      </c>
      <c r="K22" t="s">
        <v>35</v>
      </c>
    </row>
    <row r="23" spans="1:11" x14ac:dyDescent="0.25">
      <c r="A23" s="8">
        <v>46079</v>
      </c>
      <c r="B23" s="10">
        <v>2.2962962962962963E-2</v>
      </c>
      <c r="C23" t="s">
        <v>1148</v>
      </c>
      <c r="D23" t="s">
        <v>275</v>
      </c>
      <c r="E23" t="s">
        <v>1149</v>
      </c>
      <c r="F23" t="s">
        <v>1150</v>
      </c>
      <c r="G23" s="6">
        <v>10</v>
      </c>
      <c r="H23" s="6">
        <f t="shared" si="0"/>
        <v>0</v>
      </c>
      <c r="I23">
        <v>10</v>
      </c>
      <c r="J23" t="s">
        <v>31</v>
      </c>
      <c r="K23" t="s">
        <v>35</v>
      </c>
    </row>
    <row r="24" spans="1:11" x14ac:dyDescent="0.25">
      <c r="A24" s="8">
        <v>46079</v>
      </c>
      <c r="B24" s="10">
        <v>1.3981481481481482E-2</v>
      </c>
      <c r="C24" t="s">
        <v>1154</v>
      </c>
      <c r="D24" t="s">
        <v>275</v>
      </c>
      <c r="E24" t="s">
        <v>1155</v>
      </c>
      <c r="F24" t="s">
        <v>1156</v>
      </c>
      <c r="G24" s="6">
        <v>10</v>
      </c>
      <c r="H24" s="6">
        <f t="shared" si="0"/>
        <v>0</v>
      </c>
      <c r="I24">
        <v>10</v>
      </c>
      <c r="J24" t="s">
        <v>32</v>
      </c>
      <c r="K24" t="s">
        <v>35</v>
      </c>
    </row>
    <row r="25" spans="1:11" x14ac:dyDescent="0.25">
      <c r="A25" s="8">
        <v>46079</v>
      </c>
      <c r="B25" s="10">
        <v>4.4363425925925924E-2</v>
      </c>
      <c r="C25" t="s">
        <v>1142</v>
      </c>
      <c r="D25" t="s">
        <v>275</v>
      </c>
      <c r="E25" t="s">
        <v>1143</v>
      </c>
      <c r="F25" t="s">
        <v>1144</v>
      </c>
      <c r="G25" s="6">
        <v>10.06</v>
      </c>
      <c r="H25" s="6">
        <f t="shared" si="0"/>
        <v>0</v>
      </c>
      <c r="I25">
        <v>10.06</v>
      </c>
      <c r="J25" t="s">
        <v>22</v>
      </c>
      <c r="K25" t="s">
        <v>35</v>
      </c>
    </row>
    <row r="26" spans="1:11" x14ac:dyDescent="0.25">
      <c r="A26" s="8">
        <v>46079</v>
      </c>
      <c r="B26" s="10">
        <v>0.23401620370370371</v>
      </c>
      <c r="C26" t="s">
        <v>1091</v>
      </c>
      <c r="D26" t="s">
        <v>275</v>
      </c>
      <c r="E26" t="s">
        <v>1092</v>
      </c>
      <c r="F26" t="s">
        <v>1093</v>
      </c>
      <c r="G26" s="6">
        <v>10.5</v>
      </c>
      <c r="H26" s="6">
        <f t="shared" si="0"/>
        <v>0</v>
      </c>
      <c r="I26">
        <v>10.5</v>
      </c>
      <c r="J26" t="s">
        <v>22</v>
      </c>
      <c r="K26" t="s">
        <v>35</v>
      </c>
    </row>
    <row r="27" spans="1:11" x14ac:dyDescent="0.25">
      <c r="A27" s="8">
        <v>46079</v>
      </c>
      <c r="B27" s="10">
        <v>0.49451388888888886</v>
      </c>
      <c r="C27" t="s">
        <v>758</v>
      </c>
      <c r="D27" t="s">
        <v>275</v>
      </c>
      <c r="E27" t="s">
        <v>759</v>
      </c>
      <c r="F27" t="s">
        <v>760</v>
      </c>
      <c r="G27" s="6">
        <v>10.82</v>
      </c>
      <c r="H27" s="6">
        <f t="shared" si="0"/>
        <v>0</v>
      </c>
      <c r="I27">
        <v>10.82</v>
      </c>
      <c r="J27" t="s">
        <v>23</v>
      </c>
      <c r="K27" t="s">
        <v>35</v>
      </c>
    </row>
    <row r="28" spans="1:11" x14ac:dyDescent="0.25">
      <c r="A28" s="8">
        <v>46079</v>
      </c>
      <c r="B28" s="10">
        <v>0.26549768518518518</v>
      </c>
      <c r="C28" t="s">
        <v>1055</v>
      </c>
      <c r="D28" t="s">
        <v>275</v>
      </c>
      <c r="E28" t="s">
        <v>1056</v>
      </c>
      <c r="F28" t="s">
        <v>1057</v>
      </c>
      <c r="G28" s="6">
        <v>10.9</v>
      </c>
      <c r="H28" s="6">
        <f t="shared" si="0"/>
        <v>0</v>
      </c>
      <c r="I28">
        <v>10.9</v>
      </c>
      <c r="J28" t="s">
        <v>25</v>
      </c>
      <c r="K28" t="s">
        <v>35</v>
      </c>
    </row>
    <row r="29" spans="1:11" x14ac:dyDescent="0.25">
      <c r="A29" s="8">
        <v>46079</v>
      </c>
      <c r="B29" s="10">
        <v>0.35803240740740738</v>
      </c>
      <c r="C29" t="s">
        <v>959</v>
      </c>
      <c r="D29" t="s">
        <v>275</v>
      </c>
      <c r="E29" t="s">
        <v>960</v>
      </c>
      <c r="F29" t="s">
        <v>961</v>
      </c>
      <c r="G29" s="6">
        <v>11.48</v>
      </c>
      <c r="H29" s="6">
        <f t="shared" si="0"/>
        <v>0</v>
      </c>
      <c r="I29">
        <v>11.48</v>
      </c>
      <c r="J29" t="s">
        <v>23</v>
      </c>
      <c r="K29" t="s">
        <v>35</v>
      </c>
    </row>
    <row r="30" spans="1:11" x14ac:dyDescent="0.25">
      <c r="A30" s="8">
        <v>46079</v>
      </c>
      <c r="B30" s="10">
        <v>0.28445601851851854</v>
      </c>
      <c r="C30" t="s">
        <v>1025</v>
      </c>
      <c r="D30" t="s">
        <v>275</v>
      </c>
      <c r="E30" t="s">
        <v>1026</v>
      </c>
      <c r="F30" t="s">
        <v>1027</v>
      </c>
      <c r="G30" s="6">
        <v>12</v>
      </c>
      <c r="H30" s="6">
        <f t="shared" si="0"/>
        <v>0</v>
      </c>
      <c r="I30">
        <v>12</v>
      </c>
      <c r="J30" t="s">
        <v>25</v>
      </c>
      <c r="K30" t="s">
        <v>35</v>
      </c>
    </row>
    <row r="31" spans="1:11" x14ac:dyDescent="0.25">
      <c r="A31" s="8">
        <v>46079</v>
      </c>
      <c r="B31" s="10">
        <v>0.35151620370370368</v>
      </c>
      <c r="C31" t="s">
        <v>971</v>
      </c>
      <c r="D31" t="s">
        <v>275</v>
      </c>
      <c r="E31" t="s">
        <v>972</v>
      </c>
      <c r="F31" t="s">
        <v>973</v>
      </c>
      <c r="G31" s="6">
        <v>12.9</v>
      </c>
      <c r="H31" s="6">
        <f t="shared" si="0"/>
        <v>0</v>
      </c>
      <c r="I31">
        <v>12.9</v>
      </c>
      <c r="J31" t="s">
        <v>32</v>
      </c>
      <c r="K31" t="s">
        <v>35</v>
      </c>
    </row>
    <row r="32" spans="1:11" x14ac:dyDescent="0.25">
      <c r="A32" s="8">
        <v>46079</v>
      </c>
      <c r="B32" s="10">
        <v>0.95672453703703708</v>
      </c>
      <c r="C32" t="s">
        <v>308</v>
      </c>
      <c r="D32" t="s">
        <v>275</v>
      </c>
      <c r="E32" t="s">
        <v>309</v>
      </c>
      <c r="F32" t="s">
        <v>310</v>
      </c>
      <c r="G32" s="6">
        <v>13</v>
      </c>
      <c r="H32" s="6">
        <f t="shared" si="0"/>
        <v>0</v>
      </c>
      <c r="I32">
        <v>13</v>
      </c>
      <c r="J32" t="s">
        <v>27</v>
      </c>
      <c r="K32" t="s">
        <v>35</v>
      </c>
    </row>
    <row r="33" spans="1:11" x14ac:dyDescent="0.25">
      <c r="A33" s="8">
        <v>46079</v>
      </c>
      <c r="B33" s="10">
        <v>0.73668981481481477</v>
      </c>
      <c r="C33" t="s">
        <v>479</v>
      </c>
      <c r="D33" t="s">
        <v>275</v>
      </c>
      <c r="E33" t="s">
        <v>480</v>
      </c>
      <c r="F33" t="s">
        <v>481</v>
      </c>
      <c r="G33" s="6">
        <v>13</v>
      </c>
      <c r="H33" s="6">
        <f t="shared" si="0"/>
        <v>0</v>
      </c>
      <c r="I33">
        <v>13</v>
      </c>
      <c r="J33" t="s">
        <v>30</v>
      </c>
      <c r="K33" t="s">
        <v>35</v>
      </c>
    </row>
    <row r="34" spans="1:11" x14ac:dyDescent="0.25">
      <c r="A34" s="8">
        <v>46079</v>
      </c>
      <c r="B34" s="10">
        <v>0.50254629629629632</v>
      </c>
      <c r="C34" t="s">
        <v>746</v>
      </c>
      <c r="D34" t="s">
        <v>275</v>
      </c>
      <c r="E34" t="s">
        <v>747</v>
      </c>
      <c r="F34" t="s">
        <v>748</v>
      </c>
      <c r="G34" s="6">
        <v>14.22</v>
      </c>
      <c r="H34" s="6">
        <f t="shared" si="0"/>
        <v>0</v>
      </c>
      <c r="I34">
        <v>14.22</v>
      </c>
      <c r="J34" t="s">
        <v>23</v>
      </c>
      <c r="K34" t="s">
        <v>35</v>
      </c>
    </row>
    <row r="35" spans="1:11" x14ac:dyDescent="0.25">
      <c r="A35" s="8">
        <v>46079</v>
      </c>
      <c r="B35" s="10">
        <v>0.70218749999999996</v>
      </c>
      <c r="C35" t="s">
        <v>506</v>
      </c>
      <c r="D35" t="s">
        <v>275</v>
      </c>
      <c r="E35" t="s">
        <v>507</v>
      </c>
      <c r="F35" t="s">
        <v>508</v>
      </c>
      <c r="G35" s="6">
        <v>14.7</v>
      </c>
      <c r="H35" s="6">
        <f t="shared" si="0"/>
        <v>0</v>
      </c>
      <c r="I35">
        <v>14.7</v>
      </c>
      <c r="J35" t="s">
        <v>26</v>
      </c>
      <c r="K35" t="s">
        <v>35</v>
      </c>
    </row>
    <row r="36" spans="1:11" x14ac:dyDescent="0.25">
      <c r="A36" s="8">
        <v>46079</v>
      </c>
      <c r="B36" s="10">
        <v>0.89076388888888891</v>
      </c>
      <c r="C36" t="s">
        <v>353</v>
      </c>
      <c r="D36" t="s">
        <v>275</v>
      </c>
      <c r="E36" t="s">
        <v>354</v>
      </c>
      <c r="F36" t="s">
        <v>355</v>
      </c>
      <c r="G36" s="6">
        <v>15</v>
      </c>
      <c r="H36" s="6">
        <f t="shared" si="0"/>
        <v>0</v>
      </c>
      <c r="I36">
        <v>15</v>
      </c>
      <c r="J36" t="s">
        <v>23</v>
      </c>
      <c r="K36" t="s">
        <v>35</v>
      </c>
    </row>
    <row r="37" spans="1:11" x14ac:dyDescent="0.25">
      <c r="A37" s="8">
        <v>46079</v>
      </c>
      <c r="B37" s="10">
        <v>0.88753472222222218</v>
      </c>
      <c r="C37" t="s">
        <v>362</v>
      </c>
      <c r="D37" t="s">
        <v>275</v>
      </c>
      <c r="E37" t="s">
        <v>363</v>
      </c>
      <c r="F37" t="s">
        <v>364</v>
      </c>
      <c r="G37" s="6">
        <v>15</v>
      </c>
      <c r="H37" s="6">
        <f t="shared" si="0"/>
        <v>0</v>
      </c>
      <c r="I37">
        <v>15</v>
      </c>
      <c r="J37" t="s">
        <v>24</v>
      </c>
      <c r="K37" t="s">
        <v>35</v>
      </c>
    </row>
    <row r="38" spans="1:11" x14ac:dyDescent="0.25">
      <c r="A38" s="8">
        <v>46079</v>
      </c>
      <c r="B38" s="10">
        <v>0.83914351851851854</v>
      </c>
      <c r="C38" t="s">
        <v>392</v>
      </c>
      <c r="D38" t="s">
        <v>275</v>
      </c>
      <c r="E38" t="s">
        <v>393</v>
      </c>
      <c r="F38" t="s">
        <v>394</v>
      </c>
      <c r="G38" s="6">
        <v>15</v>
      </c>
      <c r="H38" s="6">
        <f t="shared" si="0"/>
        <v>0</v>
      </c>
      <c r="I38">
        <v>15</v>
      </c>
      <c r="J38" t="s">
        <v>26</v>
      </c>
      <c r="K38" t="s">
        <v>35</v>
      </c>
    </row>
    <row r="39" spans="1:11" x14ac:dyDescent="0.25">
      <c r="A39" s="8">
        <v>46079</v>
      </c>
      <c r="B39" s="10">
        <v>0.79751157407407403</v>
      </c>
      <c r="C39" t="s">
        <v>410</v>
      </c>
      <c r="D39" t="s">
        <v>275</v>
      </c>
      <c r="E39" t="s">
        <v>411</v>
      </c>
      <c r="F39" t="s">
        <v>412</v>
      </c>
      <c r="G39" s="6">
        <v>15</v>
      </c>
      <c r="H39" s="6">
        <f t="shared" si="0"/>
        <v>0</v>
      </c>
      <c r="I39">
        <v>15</v>
      </c>
      <c r="J39" t="s">
        <v>26</v>
      </c>
      <c r="K39" t="s">
        <v>35</v>
      </c>
    </row>
    <row r="40" spans="1:11" x14ac:dyDescent="0.25">
      <c r="A40" s="8">
        <v>46079</v>
      </c>
      <c r="B40" s="10">
        <v>0.73706018518518523</v>
      </c>
      <c r="C40" t="s">
        <v>476</v>
      </c>
      <c r="D40" t="s">
        <v>275</v>
      </c>
      <c r="E40" t="s">
        <v>477</v>
      </c>
      <c r="F40" t="s">
        <v>478</v>
      </c>
      <c r="G40" s="6">
        <v>15</v>
      </c>
      <c r="H40" s="6">
        <f t="shared" si="0"/>
        <v>0</v>
      </c>
      <c r="I40">
        <v>15</v>
      </c>
      <c r="J40" t="s">
        <v>26</v>
      </c>
      <c r="K40" t="s">
        <v>35</v>
      </c>
    </row>
    <row r="41" spans="1:11" x14ac:dyDescent="0.25">
      <c r="A41" s="8">
        <v>46079</v>
      </c>
      <c r="B41" s="10">
        <v>0.69920138888888894</v>
      </c>
      <c r="C41" t="s">
        <v>515</v>
      </c>
      <c r="D41" t="s">
        <v>275</v>
      </c>
      <c r="E41" t="s">
        <v>516</v>
      </c>
      <c r="F41" t="s">
        <v>517</v>
      </c>
      <c r="G41" s="6">
        <v>15</v>
      </c>
      <c r="H41" s="6">
        <f t="shared" si="0"/>
        <v>0</v>
      </c>
      <c r="I41">
        <v>15</v>
      </c>
      <c r="J41" t="s">
        <v>27</v>
      </c>
      <c r="K41" t="s">
        <v>35</v>
      </c>
    </row>
    <row r="42" spans="1:11" x14ac:dyDescent="0.25">
      <c r="A42" s="8">
        <v>46079</v>
      </c>
      <c r="B42" s="10">
        <v>0.63790509259259254</v>
      </c>
      <c r="C42" t="s">
        <v>605</v>
      </c>
      <c r="D42" t="s">
        <v>275</v>
      </c>
      <c r="E42" t="s">
        <v>606</v>
      </c>
      <c r="F42" t="s">
        <v>607</v>
      </c>
      <c r="G42" s="6">
        <v>15</v>
      </c>
      <c r="H42" s="6">
        <f t="shared" si="0"/>
        <v>0</v>
      </c>
      <c r="I42">
        <v>15</v>
      </c>
      <c r="J42" t="s">
        <v>28</v>
      </c>
      <c r="K42" t="s">
        <v>35</v>
      </c>
    </row>
    <row r="43" spans="1:11" x14ac:dyDescent="0.25">
      <c r="A43" s="8">
        <v>46079</v>
      </c>
      <c r="B43" s="10">
        <v>0.32200231481481484</v>
      </c>
      <c r="C43" t="s">
        <v>986</v>
      </c>
      <c r="D43" t="s">
        <v>275</v>
      </c>
      <c r="E43" t="s">
        <v>987</v>
      </c>
      <c r="F43" t="s">
        <v>988</v>
      </c>
      <c r="G43" s="6">
        <v>15</v>
      </c>
      <c r="H43" s="6">
        <f t="shared" si="0"/>
        <v>0</v>
      </c>
      <c r="I43">
        <v>15</v>
      </c>
      <c r="J43" t="s">
        <v>30</v>
      </c>
      <c r="K43" t="s">
        <v>35</v>
      </c>
    </row>
    <row r="44" spans="1:11" x14ac:dyDescent="0.25">
      <c r="A44" s="8">
        <v>46079</v>
      </c>
      <c r="B44" s="10">
        <v>0.28759259259259257</v>
      </c>
      <c r="C44" t="s">
        <v>1019</v>
      </c>
      <c r="D44" t="s">
        <v>275</v>
      </c>
      <c r="E44" t="s">
        <v>1020</v>
      </c>
      <c r="F44" t="s">
        <v>1021</v>
      </c>
      <c r="G44" s="6">
        <v>15</v>
      </c>
      <c r="H44" s="6">
        <f t="shared" si="0"/>
        <v>0</v>
      </c>
      <c r="I44">
        <v>15</v>
      </c>
      <c r="J44" t="s">
        <v>30</v>
      </c>
      <c r="K44" t="s">
        <v>35</v>
      </c>
    </row>
    <row r="45" spans="1:11" x14ac:dyDescent="0.25">
      <c r="A45" s="8">
        <v>46079</v>
      </c>
      <c r="B45" s="10">
        <v>0.24769675925925927</v>
      </c>
      <c r="C45" t="s">
        <v>1073</v>
      </c>
      <c r="D45" t="s">
        <v>275</v>
      </c>
      <c r="E45" t="s">
        <v>1074</v>
      </c>
      <c r="F45" t="s">
        <v>1075</v>
      </c>
      <c r="G45" s="6">
        <v>15</v>
      </c>
      <c r="H45" s="6">
        <f t="shared" si="0"/>
        <v>0</v>
      </c>
      <c r="I45">
        <v>15</v>
      </c>
      <c r="J45" t="s">
        <v>31</v>
      </c>
      <c r="K45" t="s">
        <v>35</v>
      </c>
    </row>
    <row r="46" spans="1:11" x14ac:dyDescent="0.25">
      <c r="A46" s="8">
        <v>46079</v>
      </c>
      <c r="B46" s="10">
        <v>0.24613425925925925</v>
      </c>
      <c r="C46" t="s">
        <v>1079</v>
      </c>
      <c r="D46" t="s">
        <v>275</v>
      </c>
      <c r="E46" t="s">
        <v>1080</v>
      </c>
      <c r="F46" t="s">
        <v>1081</v>
      </c>
      <c r="G46" s="6">
        <v>15</v>
      </c>
      <c r="H46" s="6">
        <f t="shared" si="0"/>
        <v>0</v>
      </c>
      <c r="I46">
        <v>15</v>
      </c>
      <c r="J46" t="s">
        <v>32</v>
      </c>
      <c r="K46" t="s">
        <v>35</v>
      </c>
    </row>
    <row r="47" spans="1:11" x14ac:dyDescent="0.25">
      <c r="A47" s="8">
        <v>46079</v>
      </c>
      <c r="B47" s="10">
        <v>0.89355324074074072</v>
      </c>
      <c r="C47" t="s">
        <v>347</v>
      </c>
      <c r="D47" t="s">
        <v>275</v>
      </c>
      <c r="E47" t="s">
        <v>348</v>
      </c>
      <c r="F47" t="s">
        <v>349</v>
      </c>
      <c r="G47" s="6">
        <v>15.19</v>
      </c>
      <c r="H47" s="6">
        <f t="shared" si="0"/>
        <v>0</v>
      </c>
      <c r="I47">
        <v>15.19</v>
      </c>
      <c r="J47" t="s">
        <v>30</v>
      </c>
      <c r="K47" t="s">
        <v>35</v>
      </c>
    </row>
    <row r="48" spans="1:11" x14ac:dyDescent="0.25">
      <c r="A48" s="8">
        <v>46079</v>
      </c>
      <c r="B48" s="10">
        <v>0.67453703703703705</v>
      </c>
      <c r="C48" t="s">
        <v>542</v>
      </c>
      <c r="D48" t="s">
        <v>275</v>
      </c>
      <c r="E48" t="s">
        <v>543</v>
      </c>
      <c r="F48" t="s">
        <v>544</v>
      </c>
      <c r="G48" s="6">
        <v>15.86</v>
      </c>
      <c r="H48" s="6">
        <f t="shared" si="0"/>
        <v>0</v>
      </c>
      <c r="I48">
        <v>15.86</v>
      </c>
      <c r="J48" t="s">
        <v>32</v>
      </c>
      <c r="K48" t="s">
        <v>35</v>
      </c>
    </row>
    <row r="49" spans="1:11" x14ac:dyDescent="0.25">
      <c r="A49" s="8">
        <v>46079</v>
      </c>
      <c r="B49" s="10">
        <v>0.35898148148148146</v>
      </c>
      <c r="C49" t="s">
        <v>956</v>
      </c>
      <c r="D49" t="s">
        <v>275</v>
      </c>
      <c r="E49" t="s">
        <v>957</v>
      </c>
      <c r="F49" t="s">
        <v>958</v>
      </c>
      <c r="G49" s="6">
        <v>16.059999999999999</v>
      </c>
      <c r="H49" s="6">
        <f t="shared" si="0"/>
        <v>0</v>
      </c>
      <c r="I49">
        <v>16.059999999999999</v>
      </c>
      <c r="J49" t="s">
        <v>26</v>
      </c>
      <c r="K49" t="s">
        <v>35</v>
      </c>
    </row>
    <row r="50" spans="1:11" x14ac:dyDescent="0.25">
      <c r="A50" s="8">
        <v>46079</v>
      </c>
      <c r="B50" s="10">
        <v>0.93125000000000002</v>
      </c>
      <c r="C50" t="s">
        <v>323</v>
      </c>
      <c r="D50" t="s">
        <v>275</v>
      </c>
      <c r="E50" t="s">
        <v>324</v>
      </c>
      <c r="F50" t="s">
        <v>325</v>
      </c>
      <c r="G50" s="6">
        <v>17</v>
      </c>
      <c r="H50" s="6">
        <f t="shared" si="0"/>
        <v>0</v>
      </c>
      <c r="I50">
        <v>17</v>
      </c>
      <c r="J50" t="s">
        <v>29</v>
      </c>
      <c r="K50" t="s">
        <v>35</v>
      </c>
    </row>
    <row r="51" spans="1:11" x14ac:dyDescent="0.25">
      <c r="A51" s="8">
        <v>46079</v>
      </c>
      <c r="B51" s="10">
        <v>0.42533564814814817</v>
      </c>
      <c r="C51" t="s">
        <v>836</v>
      </c>
      <c r="D51" t="s">
        <v>275</v>
      </c>
      <c r="E51" t="s">
        <v>837</v>
      </c>
      <c r="F51" t="s">
        <v>838</v>
      </c>
      <c r="G51" s="6">
        <v>17.86</v>
      </c>
      <c r="H51" s="6">
        <f t="shared" si="0"/>
        <v>0</v>
      </c>
      <c r="I51">
        <v>17.86</v>
      </c>
      <c r="J51" t="s">
        <v>27</v>
      </c>
      <c r="K51" t="s">
        <v>35</v>
      </c>
    </row>
    <row r="52" spans="1:11" x14ac:dyDescent="0.25">
      <c r="A52" s="8">
        <v>46079</v>
      </c>
      <c r="B52" s="10">
        <v>0.6411458333333333</v>
      </c>
      <c r="C52" t="s">
        <v>602</v>
      </c>
      <c r="D52" t="s">
        <v>275</v>
      </c>
      <c r="E52" t="s">
        <v>603</v>
      </c>
      <c r="F52" t="s">
        <v>604</v>
      </c>
      <c r="G52" s="6">
        <v>18</v>
      </c>
      <c r="H52" s="6">
        <f t="shared" si="0"/>
        <v>0</v>
      </c>
      <c r="I52">
        <v>18</v>
      </c>
      <c r="J52" t="s">
        <v>24</v>
      </c>
      <c r="K52" t="s">
        <v>35</v>
      </c>
    </row>
    <row r="53" spans="1:11" x14ac:dyDescent="0.25">
      <c r="A53" s="8">
        <v>46079</v>
      </c>
      <c r="B53" s="10">
        <v>0.39740740740740743</v>
      </c>
      <c r="C53" t="s">
        <v>899</v>
      </c>
      <c r="D53" t="s">
        <v>275</v>
      </c>
      <c r="E53" t="s">
        <v>900</v>
      </c>
      <c r="F53" t="s">
        <v>901</v>
      </c>
      <c r="G53" s="6">
        <v>19</v>
      </c>
      <c r="H53" s="6">
        <f t="shared" si="0"/>
        <v>0</v>
      </c>
      <c r="I53">
        <v>19</v>
      </c>
      <c r="J53" t="s">
        <v>27</v>
      </c>
      <c r="K53" t="s">
        <v>35</v>
      </c>
    </row>
    <row r="54" spans="1:11" x14ac:dyDescent="0.25">
      <c r="A54" s="8">
        <v>46079</v>
      </c>
      <c r="B54" s="10">
        <v>0.65680555555555553</v>
      </c>
      <c r="C54" t="s">
        <v>584</v>
      </c>
      <c r="D54" t="s">
        <v>275</v>
      </c>
      <c r="E54" t="s">
        <v>585</v>
      </c>
      <c r="F54" t="s">
        <v>586</v>
      </c>
      <c r="G54" s="6">
        <v>19.61</v>
      </c>
      <c r="H54" s="6">
        <f t="shared" si="0"/>
        <v>0</v>
      </c>
      <c r="I54">
        <v>19.61</v>
      </c>
      <c r="J54" t="s">
        <v>32</v>
      </c>
      <c r="K54" t="s">
        <v>35</v>
      </c>
    </row>
    <row r="55" spans="1:11" x14ac:dyDescent="0.25">
      <c r="A55" s="8">
        <v>46079</v>
      </c>
      <c r="B55" s="10">
        <v>0.97152777777777777</v>
      </c>
      <c r="C55" t="s">
        <v>287</v>
      </c>
      <c r="D55" t="s">
        <v>275</v>
      </c>
      <c r="E55" t="s">
        <v>288</v>
      </c>
      <c r="F55" t="s">
        <v>289</v>
      </c>
      <c r="G55" s="6">
        <v>20</v>
      </c>
      <c r="H55" s="6">
        <f t="shared" si="0"/>
        <v>0</v>
      </c>
      <c r="I55">
        <v>20</v>
      </c>
      <c r="J55" t="s">
        <v>22</v>
      </c>
      <c r="K55" t="s">
        <v>35</v>
      </c>
    </row>
    <row r="56" spans="1:11" x14ac:dyDescent="0.25">
      <c r="A56" s="8">
        <v>46079</v>
      </c>
      <c r="B56" s="10">
        <v>0.9478819444444444</v>
      </c>
      <c r="C56" t="s">
        <v>311</v>
      </c>
      <c r="D56" t="s">
        <v>275</v>
      </c>
      <c r="E56" t="s">
        <v>312</v>
      </c>
      <c r="F56" t="s">
        <v>313</v>
      </c>
      <c r="G56" s="6">
        <v>20</v>
      </c>
      <c r="H56" s="6">
        <f t="shared" si="0"/>
        <v>0</v>
      </c>
      <c r="I56">
        <v>20</v>
      </c>
      <c r="J56" t="s">
        <v>23</v>
      </c>
      <c r="K56" t="s">
        <v>35</v>
      </c>
    </row>
    <row r="57" spans="1:11" x14ac:dyDescent="0.25">
      <c r="A57" s="8">
        <v>46079</v>
      </c>
      <c r="B57" s="10">
        <v>0.9377199074074074</v>
      </c>
      <c r="C57" t="s">
        <v>317</v>
      </c>
      <c r="D57" t="s">
        <v>275</v>
      </c>
      <c r="E57" t="s">
        <v>318</v>
      </c>
      <c r="F57" t="s">
        <v>319</v>
      </c>
      <c r="G57" s="6">
        <v>20</v>
      </c>
      <c r="H57" s="6">
        <f t="shared" si="0"/>
        <v>0</v>
      </c>
      <c r="I57">
        <v>20</v>
      </c>
      <c r="J57" t="s">
        <v>24</v>
      </c>
      <c r="K57" t="s">
        <v>35</v>
      </c>
    </row>
    <row r="58" spans="1:11" x14ac:dyDescent="0.25">
      <c r="A58" s="8">
        <v>46079</v>
      </c>
      <c r="B58" s="10">
        <v>0.9211111111111111</v>
      </c>
      <c r="C58" t="s">
        <v>332</v>
      </c>
      <c r="D58" t="s">
        <v>275</v>
      </c>
      <c r="E58" t="s">
        <v>333</v>
      </c>
      <c r="F58" t="s">
        <v>334</v>
      </c>
      <c r="G58" s="6">
        <v>20</v>
      </c>
      <c r="H58" s="6">
        <f t="shared" si="0"/>
        <v>0</v>
      </c>
      <c r="I58">
        <v>20</v>
      </c>
      <c r="J58" t="s">
        <v>24</v>
      </c>
      <c r="K58" t="s">
        <v>35</v>
      </c>
    </row>
    <row r="59" spans="1:11" x14ac:dyDescent="0.25">
      <c r="A59" s="8">
        <v>46079</v>
      </c>
      <c r="B59" s="10">
        <v>0.9206481481481481</v>
      </c>
      <c r="C59" t="s">
        <v>335</v>
      </c>
      <c r="D59" t="s">
        <v>275</v>
      </c>
      <c r="E59" t="s">
        <v>336</v>
      </c>
      <c r="F59" t="s">
        <v>337</v>
      </c>
      <c r="G59" s="6">
        <v>20</v>
      </c>
      <c r="H59" s="6">
        <f t="shared" si="0"/>
        <v>0</v>
      </c>
      <c r="I59">
        <v>20</v>
      </c>
      <c r="J59" t="s">
        <v>24</v>
      </c>
      <c r="K59" t="s">
        <v>35</v>
      </c>
    </row>
    <row r="60" spans="1:11" x14ac:dyDescent="0.25">
      <c r="A60" s="8">
        <v>46079</v>
      </c>
      <c r="B60" s="10">
        <v>0.88079861111111113</v>
      </c>
      <c r="C60" t="s">
        <v>371</v>
      </c>
      <c r="D60" t="s">
        <v>275</v>
      </c>
      <c r="E60" t="s">
        <v>372</v>
      </c>
      <c r="F60" t="s">
        <v>373</v>
      </c>
      <c r="G60" s="6">
        <v>20</v>
      </c>
      <c r="H60" s="6">
        <f t="shared" si="0"/>
        <v>0</v>
      </c>
      <c r="I60">
        <v>20</v>
      </c>
      <c r="J60" t="s">
        <v>24</v>
      </c>
      <c r="K60" t="s">
        <v>35</v>
      </c>
    </row>
    <row r="61" spans="1:11" x14ac:dyDescent="0.25">
      <c r="A61" s="8">
        <v>46079</v>
      </c>
      <c r="B61" s="10">
        <v>0.85037037037037033</v>
      </c>
      <c r="C61" t="s">
        <v>389</v>
      </c>
      <c r="D61" t="s">
        <v>275</v>
      </c>
      <c r="E61" t="s">
        <v>390</v>
      </c>
      <c r="F61" t="s">
        <v>391</v>
      </c>
      <c r="G61" s="6">
        <v>20</v>
      </c>
      <c r="H61" s="6">
        <f t="shared" si="0"/>
        <v>0</v>
      </c>
      <c r="I61">
        <v>20</v>
      </c>
      <c r="J61" t="s">
        <v>24</v>
      </c>
      <c r="K61" t="s">
        <v>35</v>
      </c>
    </row>
    <row r="62" spans="1:11" x14ac:dyDescent="0.25">
      <c r="A62" s="8">
        <v>46079</v>
      </c>
      <c r="B62" s="10">
        <v>0.82289351851851855</v>
      </c>
      <c r="C62" t="s">
        <v>404</v>
      </c>
      <c r="D62" t="s">
        <v>275</v>
      </c>
      <c r="E62" t="s">
        <v>405</v>
      </c>
      <c r="F62" t="s">
        <v>406</v>
      </c>
      <c r="G62" s="6">
        <v>20</v>
      </c>
      <c r="H62" s="6">
        <f t="shared" si="0"/>
        <v>0</v>
      </c>
      <c r="I62">
        <v>20</v>
      </c>
      <c r="J62" t="s">
        <v>24</v>
      </c>
      <c r="K62" t="s">
        <v>35</v>
      </c>
    </row>
    <row r="63" spans="1:11" x14ac:dyDescent="0.25">
      <c r="A63" s="8">
        <v>46079</v>
      </c>
      <c r="B63" s="10">
        <v>0.76406249999999998</v>
      </c>
      <c r="C63" t="s">
        <v>422</v>
      </c>
      <c r="D63" t="s">
        <v>275</v>
      </c>
      <c r="E63" t="s">
        <v>423</v>
      </c>
      <c r="F63" t="s">
        <v>424</v>
      </c>
      <c r="G63" s="6">
        <v>20</v>
      </c>
      <c r="H63" s="6">
        <f t="shared" si="0"/>
        <v>0</v>
      </c>
      <c r="I63">
        <v>20</v>
      </c>
      <c r="J63" t="s">
        <v>24</v>
      </c>
      <c r="K63" t="s">
        <v>35</v>
      </c>
    </row>
    <row r="64" spans="1:11" x14ac:dyDescent="0.25">
      <c r="A64" s="8">
        <v>46079</v>
      </c>
      <c r="B64" s="10">
        <v>0.74755787037037036</v>
      </c>
      <c r="C64" t="s">
        <v>452</v>
      </c>
      <c r="D64" t="s">
        <v>275</v>
      </c>
      <c r="E64" t="s">
        <v>453</v>
      </c>
      <c r="F64" t="s">
        <v>454</v>
      </c>
      <c r="G64" s="6">
        <v>20</v>
      </c>
      <c r="H64" s="6">
        <f t="shared" si="0"/>
        <v>0</v>
      </c>
      <c r="I64">
        <v>20</v>
      </c>
      <c r="J64" t="s">
        <v>24</v>
      </c>
      <c r="K64" t="s">
        <v>35</v>
      </c>
    </row>
    <row r="65" spans="1:11" x14ac:dyDescent="0.25">
      <c r="A65" s="8">
        <v>46079</v>
      </c>
      <c r="B65" s="10">
        <v>0.7428703703703704</v>
      </c>
      <c r="C65" t="s">
        <v>470</v>
      </c>
      <c r="D65" t="s">
        <v>275</v>
      </c>
      <c r="E65" t="s">
        <v>471</v>
      </c>
      <c r="F65" t="s">
        <v>472</v>
      </c>
      <c r="G65" s="6">
        <v>20</v>
      </c>
      <c r="H65" s="6">
        <f t="shared" si="0"/>
        <v>0</v>
      </c>
      <c r="I65">
        <v>20</v>
      </c>
      <c r="J65" t="s">
        <v>25</v>
      </c>
      <c r="K65" t="s">
        <v>35</v>
      </c>
    </row>
    <row r="66" spans="1:11" x14ac:dyDescent="0.25">
      <c r="A66" s="8">
        <v>46079</v>
      </c>
      <c r="B66" s="10">
        <v>0.73781249999999998</v>
      </c>
      <c r="C66" t="s">
        <v>473</v>
      </c>
      <c r="D66" t="s">
        <v>275</v>
      </c>
      <c r="E66" t="s">
        <v>474</v>
      </c>
      <c r="F66" t="s">
        <v>475</v>
      </c>
      <c r="G66" s="6">
        <v>20</v>
      </c>
      <c r="H66" s="6">
        <f t="shared" si="0"/>
        <v>0</v>
      </c>
      <c r="I66">
        <v>20</v>
      </c>
      <c r="J66" t="s">
        <v>25</v>
      </c>
      <c r="K66" t="s">
        <v>35</v>
      </c>
    </row>
    <row r="67" spans="1:11" x14ac:dyDescent="0.25">
      <c r="A67" s="8">
        <v>46079</v>
      </c>
      <c r="B67" s="10">
        <v>0.69987268518518519</v>
      </c>
      <c r="C67" t="s">
        <v>512</v>
      </c>
      <c r="D67" t="s">
        <v>275</v>
      </c>
      <c r="E67" t="s">
        <v>513</v>
      </c>
      <c r="F67" t="s">
        <v>514</v>
      </c>
      <c r="G67" s="6">
        <v>20</v>
      </c>
      <c r="H67" s="6">
        <f t="shared" ref="H67:H130" si="1">G67-I67</f>
        <v>0</v>
      </c>
      <c r="I67">
        <v>20</v>
      </c>
      <c r="J67" t="s">
        <v>25</v>
      </c>
      <c r="K67" t="s">
        <v>35</v>
      </c>
    </row>
    <row r="68" spans="1:11" x14ac:dyDescent="0.25">
      <c r="A68" s="8">
        <v>46079</v>
      </c>
      <c r="B68" s="10">
        <v>0.65063657407407405</v>
      </c>
      <c r="C68" t="s">
        <v>596</v>
      </c>
      <c r="D68" t="s">
        <v>275</v>
      </c>
      <c r="E68" t="s">
        <v>597</v>
      </c>
      <c r="F68" t="s">
        <v>598</v>
      </c>
      <c r="G68" s="6">
        <v>20</v>
      </c>
      <c r="H68" s="6">
        <f t="shared" si="1"/>
        <v>0</v>
      </c>
      <c r="I68">
        <v>20</v>
      </c>
      <c r="J68" t="s">
        <v>25</v>
      </c>
      <c r="K68" t="s">
        <v>35</v>
      </c>
    </row>
    <row r="69" spans="1:11" x14ac:dyDescent="0.25">
      <c r="A69" s="8">
        <v>46079</v>
      </c>
      <c r="B69" s="10">
        <v>0.60913194444444441</v>
      </c>
      <c r="C69" t="s">
        <v>623</v>
      </c>
      <c r="D69" t="s">
        <v>275</v>
      </c>
      <c r="E69" t="s">
        <v>624</v>
      </c>
      <c r="F69" t="s">
        <v>625</v>
      </c>
      <c r="G69" s="6">
        <v>20</v>
      </c>
      <c r="H69" s="6">
        <f t="shared" si="1"/>
        <v>0</v>
      </c>
      <c r="I69">
        <v>20</v>
      </c>
      <c r="J69" t="s">
        <v>26</v>
      </c>
      <c r="K69" t="s">
        <v>35</v>
      </c>
    </row>
    <row r="70" spans="1:11" x14ac:dyDescent="0.25">
      <c r="A70" s="8">
        <v>46079</v>
      </c>
      <c r="B70" s="10">
        <v>0.60417824074074078</v>
      </c>
      <c r="C70" t="s">
        <v>632</v>
      </c>
      <c r="D70" t="s">
        <v>275</v>
      </c>
      <c r="E70" t="s">
        <v>633</v>
      </c>
      <c r="F70" t="s">
        <v>634</v>
      </c>
      <c r="G70" s="6">
        <v>20</v>
      </c>
      <c r="H70" s="6">
        <f t="shared" si="1"/>
        <v>0</v>
      </c>
      <c r="I70">
        <v>20</v>
      </c>
      <c r="J70" t="s">
        <v>27</v>
      </c>
      <c r="K70" t="s">
        <v>35</v>
      </c>
    </row>
    <row r="71" spans="1:11" x14ac:dyDescent="0.25">
      <c r="A71" s="8">
        <v>46079</v>
      </c>
      <c r="B71" s="10">
        <v>0.58425925925925926</v>
      </c>
      <c r="C71" t="s">
        <v>665</v>
      </c>
      <c r="D71" t="s">
        <v>275</v>
      </c>
      <c r="E71" t="s">
        <v>666</v>
      </c>
      <c r="F71" t="s">
        <v>667</v>
      </c>
      <c r="G71" s="6">
        <v>20</v>
      </c>
      <c r="H71" s="6">
        <f t="shared" si="1"/>
        <v>0</v>
      </c>
      <c r="I71">
        <v>20</v>
      </c>
      <c r="J71" t="s">
        <v>27</v>
      </c>
      <c r="K71" t="s">
        <v>35</v>
      </c>
    </row>
    <row r="72" spans="1:11" x14ac:dyDescent="0.25">
      <c r="A72" s="8">
        <v>46079</v>
      </c>
      <c r="B72" s="10">
        <v>0.55699074074074073</v>
      </c>
      <c r="C72" t="s">
        <v>692</v>
      </c>
      <c r="D72" t="s">
        <v>275</v>
      </c>
      <c r="E72" t="s">
        <v>693</v>
      </c>
      <c r="F72" t="s">
        <v>694</v>
      </c>
      <c r="G72" s="6">
        <v>20</v>
      </c>
      <c r="H72" s="6">
        <f t="shared" si="1"/>
        <v>0</v>
      </c>
      <c r="I72">
        <v>20</v>
      </c>
      <c r="J72" t="s">
        <v>28</v>
      </c>
      <c r="K72" t="s">
        <v>35</v>
      </c>
    </row>
    <row r="73" spans="1:11" x14ac:dyDescent="0.25">
      <c r="A73" s="8">
        <v>46079</v>
      </c>
      <c r="B73" s="10">
        <v>0.51454861111111116</v>
      </c>
      <c r="C73" t="s">
        <v>734</v>
      </c>
      <c r="D73" t="s">
        <v>275</v>
      </c>
      <c r="E73" t="s">
        <v>735</v>
      </c>
      <c r="F73" t="s">
        <v>736</v>
      </c>
      <c r="G73" s="6">
        <v>20</v>
      </c>
      <c r="H73" s="6">
        <f t="shared" si="1"/>
        <v>0</v>
      </c>
      <c r="I73">
        <v>20</v>
      </c>
      <c r="J73" t="s">
        <v>28</v>
      </c>
      <c r="K73" t="s">
        <v>35</v>
      </c>
    </row>
    <row r="74" spans="1:11" x14ac:dyDescent="0.25">
      <c r="A74" s="8">
        <v>46079</v>
      </c>
      <c r="B74" s="10">
        <v>0.49562499999999998</v>
      </c>
      <c r="C74" t="s">
        <v>755</v>
      </c>
      <c r="D74" t="s">
        <v>275</v>
      </c>
      <c r="E74" t="s">
        <v>756</v>
      </c>
      <c r="F74" t="s">
        <v>757</v>
      </c>
      <c r="G74" s="6">
        <v>20</v>
      </c>
      <c r="H74" s="6">
        <f t="shared" si="1"/>
        <v>0</v>
      </c>
      <c r="I74">
        <v>20</v>
      </c>
      <c r="J74" t="s">
        <v>29</v>
      </c>
      <c r="K74" t="s">
        <v>35</v>
      </c>
    </row>
    <row r="75" spans="1:11" x14ac:dyDescent="0.25">
      <c r="A75" s="8">
        <v>46079</v>
      </c>
      <c r="B75" s="10">
        <v>0.46402777777777776</v>
      </c>
      <c r="C75" t="s">
        <v>788</v>
      </c>
      <c r="D75" t="s">
        <v>275</v>
      </c>
      <c r="E75" t="s">
        <v>789</v>
      </c>
      <c r="F75" t="s">
        <v>790</v>
      </c>
      <c r="G75" s="6">
        <v>20</v>
      </c>
      <c r="H75" s="6">
        <f t="shared" si="1"/>
        <v>0</v>
      </c>
      <c r="I75">
        <v>20</v>
      </c>
      <c r="J75" t="s">
        <v>29</v>
      </c>
      <c r="K75" t="s">
        <v>35</v>
      </c>
    </row>
    <row r="76" spans="1:11" x14ac:dyDescent="0.25">
      <c r="A76" s="8">
        <v>46079</v>
      </c>
      <c r="B76" s="10">
        <v>0.42959490740740741</v>
      </c>
      <c r="C76" t="s">
        <v>833</v>
      </c>
      <c r="D76" t="s">
        <v>275</v>
      </c>
      <c r="E76" t="s">
        <v>834</v>
      </c>
      <c r="F76" t="s">
        <v>835</v>
      </c>
      <c r="G76" s="6">
        <v>20</v>
      </c>
      <c r="H76" s="6">
        <f t="shared" si="1"/>
        <v>0</v>
      </c>
      <c r="I76">
        <v>20</v>
      </c>
      <c r="J76" t="s">
        <v>30</v>
      </c>
      <c r="K76" t="s">
        <v>35</v>
      </c>
    </row>
    <row r="77" spans="1:11" x14ac:dyDescent="0.25">
      <c r="A77" s="8">
        <v>46079</v>
      </c>
      <c r="B77" s="10">
        <v>0.40815972222222224</v>
      </c>
      <c r="C77" t="s">
        <v>878</v>
      </c>
      <c r="D77" t="s">
        <v>275</v>
      </c>
      <c r="E77" t="s">
        <v>879</v>
      </c>
      <c r="F77" t="s">
        <v>880</v>
      </c>
      <c r="G77" s="6">
        <v>20</v>
      </c>
      <c r="H77" s="6">
        <f t="shared" si="1"/>
        <v>0</v>
      </c>
      <c r="I77">
        <v>20</v>
      </c>
      <c r="J77" t="s">
        <v>30</v>
      </c>
      <c r="K77" t="s">
        <v>35</v>
      </c>
    </row>
    <row r="78" spans="1:11" x14ac:dyDescent="0.25">
      <c r="A78" s="8">
        <v>46079</v>
      </c>
      <c r="B78" s="10">
        <v>0.37427083333333333</v>
      </c>
      <c r="C78" t="s">
        <v>929</v>
      </c>
      <c r="D78" t="s">
        <v>275</v>
      </c>
      <c r="E78" t="s">
        <v>930</v>
      </c>
      <c r="F78" t="s">
        <v>931</v>
      </c>
      <c r="G78" s="6">
        <v>20</v>
      </c>
      <c r="H78" s="6">
        <f t="shared" si="1"/>
        <v>0</v>
      </c>
      <c r="I78">
        <v>20</v>
      </c>
      <c r="J78" t="s">
        <v>30</v>
      </c>
      <c r="K78" t="s">
        <v>35</v>
      </c>
    </row>
    <row r="79" spans="1:11" x14ac:dyDescent="0.25">
      <c r="A79" s="8">
        <v>46079</v>
      </c>
      <c r="B79" s="10">
        <v>0.2945949074074074</v>
      </c>
      <c r="C79" t="s">
        <v>1013</v>
      </c>
      <c r="D79" t="s">
        <v>275</v>
      </c>
      <c r="E79" t="s">
        <v>1014</v>
      </c>
      <c r="F79" t="s">
        <v>1015</v>
      </c>
      <c r="G79" s="6">
        <v>20</v>
      </c>
      <c r="H79" s="6">
        <f t="shared" si="1"/>
        <v>0</v>
      </c>
      <c r="I79">
        <v>20</v>
      </c>
      <c r="J79" t="s">
        <v>30</v>
      </c>
      <c r="K79" t="s">
        <v>35</v>
      </c>
    </row>
    <row r="80" spans="1:11" x14ac:dyDescent="0.25">
      <c r="A80" s="8">
        <v>46079</v>
      </c>
      <c r="B80" s="10">
        <v>0.27035879629629628</v>
      </c>
      <c r="C80" t="s">
        <v>1043</v>
      </c>
      <c r="D80" t="s">
        <v>275</v>
      </c>
      <c r="E80" t="s">
        <v>1044</v>
      </c>
      <c r="F80" t="s">
        <v>1045</v>
      </c>
      <c r="G80" s="6">
        <v>20</v>
      </c>
      <c r="H80" s="6">
        <f t="shared" si="1"/>
        <v>0</v>
      </c>
      <c r="I80">
        <v>20</v>
      </c>
      <c r="J80" t="s">
        <v>31</v>
      </c>
      <c r="K80" t="s">
        <v>35</v>
      </c>
    </row>
    <row r="81" spans="1:11" x14ac:dyDescent="0.25">
      <c r="A81" s="8">
        <v>46079</v>
      </c>
      <c r="B81" s="10">
        <v>0.26952546296296298</v>
      </c>
      <c r="C81" t="s">
        <v>1046</v>
      </c>
      <c r="D81" t="s">
        <v>275</v>
      </c>
      <c r="E81" t="s">
        <v>1047</v>
      </c>
      <c r="F81" t="s">
        <v>1048</v>
      </c>
      <c r="G81" s="6">
        <v>20</v>
      </c>
      <c r="H81" s="6">
        <f t="shared" si="1"/>
        <v>0</v>
      </c>
      <c r="I81">
        <v>20</v>
      </c>
      <c r="J81" t="s">
        <v>32</v>
      </c>
      <c r="K81" t="s">
        <v>35</v>
      </c>
    </row>
    <row r="82" spans="1:11" x14ac:dyDescent="0.25">
      <c r="A82" s="8">
        <v>46079</v>
      </c>
      <c r="B82" s="10">
        <v>0.24159722222222221</v>
      </c>
      <c r="C82" t="s">
        <v>1085</v>
      </c>
      <c r="D82" t="s">
        <v>275</v>
      </c>
      <c r="E82" t="s">
        <v>1086</v>
      </c>
      <c r="F82" t="s">
        <v>1087</v>
      </c>
      <c r="G82" s="6">
        <v>20</v>
      </c>
      <c r="H82" s="6">
        <f t="shared" si="1"/>
        <v>0</v>
      </c>
      <c r="I82">
        <v>20</v>
      </c>
      <c r="J82" t="s">
        <v>32</v>
      </c>
      <c r="K82" t="s">
        <v>35</v>
      </c>
    </row>
    <row r="83" spans="1:11" x14ac:dyDescent="0.25">
      <c r="A83" s="8">
        <v>46079</v>
      </c>
      <c r="B83" s="10">
        <v>3.2800925925925928E-2</v>
      </c>
      <c r="C83" t="s">
        <v>1145</v>
      </c>
      <c r="D83" t="s">
        <v>275</v>
      </c>
      <c r="E83" t="s">
        <v>1146</v>
      </c>
      <c r="F83" t="s">
        <v>1147</v>
      </c>
      <c r="G83" s="6">
        <v>20</v>
      </c>
      <c r="H83" s="6">
        <f t="shared" si="1"/>
        <v>0</v>
      </c>
      <c r="I83">
        <v>20</v>
      </c>
      <c r="J83" t="s">
        <v>32</v>
      </c>
      <c r="K83" t="s">
        <v>35</v>
      </c>
    </row>
    <row r="84" spans="1:11" x14ac:dyDescent="0.25">
      <c r="A84" s="8">
        <v>46079</v>
      </c>
      <c r="B84" s="10">
        <v>1.0578703703703703E-2</v>
      </c>
      <c r="C84" t="s">
        <v>1157</v>
      </c>
      <c r="D84" t="s">
        <v>275</v>
      </c>
      <c r="E84" t="s">
        <v>1158</v>
      </c>
      <c r="F84" t="s">
        <v>1159</v>
      </c>
      <c r="G84" s="6">
        <v>20</v>
      </c>
      <c r="H84" s="6">
        <f t="shared" si="1"/>
        <v>0</v>
      </c>
      <c r="I84">
        <v>20</v>
      </c>
      <c r="J84" t="s">
        <v>32</v>
      </c>
      <c r="K84" t="s">
        <v>35</v>
      </c>
    </row>
    <row r="85" spans="1:11" x14ac:dyDescent="0.25">
      <c r="A85" s="8">
        <v>46079</v>
      </c>
      <c r="B85" s="10">
        <v>0.19746527777777778</v>
      </c>
      <c r="C85" t="s">
        <v>1118</v>
      </c>
      <c r="D85" t="s">
        <v>275</v>
      </c>
      <c r="E85" t="s">
        <v>1119</v>
      </c>
      <c r="F85" t="s">
        <v>1120</v>
      </c>
      <c r="G85" s="6">
        <v>20.25</v>
      </c>
      <c r="H85" s="6">
        <f t="shared" si="1"/>
        <v>0</v>
      </c>
      <c r="I85">
        <v>20.25</v>
      </c>
      <c r="J85" t="s">
        <v>31</v>
      </c>
      <c r="K85" t="s">
        <v>35</v>
      </c>
    </row>
    <row r="86" spans="1:11" x14ac:dyDescent="0.25">
      <c r="A86" s="8">
        <v>46079</v>
      </c>
      <c r="B86" s="10">
        <v>0.46438657407407408</v>
      </c>
      <c r="C86" t="s">
        <v>785</v>
      </c>
      <c r="D86" t="s">
        <v>275</v>
      </c>
      <c r="E86" t="s">
        <v>786</v>
      </c>
      <c r="F86" t="s">
        <v>787</v>
      </c>
      <c r="G86" s="6">
        <v>20.5</v>
      </c>
      <c r="H86" s="6">
        <f t="shared" si="1"/>
        <v>0</v>
      </c>
      <c r="I86">
        <v>20.5</v>
      </c>
      <c r="J86" t="s">
        <v>27</v>
      </c>
      <c r="K86" t="s">
        <v>35</v>
      </c>
    </row>
    <row r="87" spans="1:11" x14ac:dyDescent="0.25">
      <c r="A87" s="8">
        <v>46079</v>
      </c>
      <c r="B87" s="10">
        <v>0.83417824074074076</v>
      </c>
      <c r="C87" t="s">
        <v>398</v>
      </c>
      <c r="D87" t="s">
        <v>275</v>
      </c>
      <c r="E87" t="s">
        <v>399</v>
      </c>
      <c r="F87" t="s">
        <v>400</v>
      </c>
      <c r="G87" s="6">
        <v>20.9</v>
      </c>
      <c r="H87" s="6">
        <f t="shared" si="1"/>
        <v>0</v>
      </c>
      <c r="I87">
        <v>20.9</v>
      </c>
      <c r="J87" t="s">
        <v>30</v>
      </c>
      <c r="K87" t="s">
        <v>35</v>
      </c>
    </row>
    <row r="88" spans="1:11" x14ac:dyDescent="0.25">
      <c r="A88" s="8">
        <v>46079</v>
      </c>
      <c r="B88" s="10">
        <v>0.65472222222222221</v>
      </c>
      <c r="C88" t="s">
        <v>587</v>
      </c>
      <c r="D88" t="s">
        <v>275</v>
      </c>
      <c r="E88" t="s">
        <v>588</v>
      </c>
      <c r="F88" t="s">
        <v>589</v>
      </c>
      <c r="G88" s="6">
        <v>21.03</v>
      </c>
      <c r="H88" s="6">
        <f t="shared" si="1"/>
        <v>0</v>
      </c>
      <c r="I88">
        <v>21.03</v>
      </c>
      <c r="J88" t="s">
        <v>23</v>
      </c>
      <c r="K88" t="s">
        <v>35</v>
      </c>
    </row>
    <row r="89" spans="1:11" x14ac:dyDescent="0.25">
      <c r="A89" s="8">
        <v>46079</v>
      </c>
      <c r="B89" s="10">
        <v>0.66721064814814812</v>
      </c>
      <c r="C89" t="s">
        <v>560</v>
      </c>
      <c r="D89" t="s">
        <v>275</v>
      </c>
      <c r="E89" t="s">
        <v>561</v>
      </c>
      <c r="F89" t="s">
        <v>562</v>
      </c>
      <c r="G89" s="6">
        <v>22</v>
      </c>
      <c r="H89" s="6">
        <f t="shared" si="1"/>
        <v>0</v>
      </c>
      <c r="I89">
        <v>22</v>
      </c>
      <c r="J89" t="s">
        <v>24</v>
      </c>
      <c r="K89" t="s">
        <v>35</v>
      </c>
    </row>
    <row r="90" spans="1:11" x14ac:dyDescent="0.25">
      <c r="A90" s="8">
        <v>46079</v>
      </c>
      <c r="B90" s="10">
        <v>0.24831018518518519</v>
      </c>
      <c r="C90" t="s">
        <v>1070</v>
      </c>
      <c r="D90" t="s">
        <v>275</v>
      </c>
      <c r="E90" t="s">
        <v>1071</v>
      </c>
      <c r="F90" t="s">
        <v>1072</v>
      </c>
      <c r="G90" s="6">
        <v>23.05</v>
      </c>
      <c r="H90" s="6">
        <f t="shared" si="1"/>
        <v>0</v>
      </c>
      <c r="I90">
        <v>23.05</v>
      </c>
      <c r="J90" t="s">
        <v>23</v>
      </c>
      <c r="K90" t="s">
        <v>35</v>
      </c>
    </row>
    <row r="91" spans="1:11" x14ac:dyDescent="0.25">
      <c r="A91" s="8">
        <v>46079</v>
      </c>
      <c r="B91" s="10">
        <v>0.50151620370370376</v>
      </c>
      <c r="C91" t="s">
        <v>749</v>
      </c>
      <c r="D91" t="s">
        <v>275</v>
      </c>
      <c r="E91" t="s">
        <v>750</v>
      </c>
      <c r="F91" t="s">
        <v>751</v>
      </c>
      <c r="G91" s="6">
        <v>23.21</v>
      </c>
      <c r="H91" s="6">
        <f t="shared" si="1"/>
        <v>0</v>
      </c>
      <c r="I91">
        <v>23.21</v>
      </c>
      <c r="J91" t="s">
        <v>27</v>
      </c>
      <c r="K91" t="s">
        <v>35</v>
      </c>
    </row>
    <row r="92" spans="1:11" x14ac:dyDescent="0.25">
      <c r="A92" s="8">
        <v>46079</v>
      </c>
      <c r="B92" s="10">
        <v>0.37030092592592595</v>
      </c>
      <c r="C92" t="s">
        <v>935</v>
      </c>
      <c r="D92" t="s">
        <v>275</v>
      </c>
      <c r="E92" t="s">
        <v>936</v>
      </c>
      <c r="F92" t="s">
        <v>937</v>
      </c>
      <c r="G92" s="6">
        <v>23.29</v>
      </c>
      <c r="H92" s="6">
        <f t="shared" si="1"/>
        <v>0</v>
      </c>
      <c r="I92">
        <v>23.29</v>
      </c>
      <c r="J92" t="s">
        <v>27</v>
      </c>
      <c r="K92" t="s">
        <v>35</v>
      </c>
    </row>
    <row r="93" spans="1:11" x14ac:dyDescent="0.25">
      <c r="A93" s="8">
        <v>46079</v>
      </c>
      <c r="B93" s="10">
        <v>0.70339120370370367</v>
      </c>
      <c r="C93" t="s">
        <v>503</v>
      </c>
      <c r="D93" t="s">
        <v>275</v>
      </c>
      <c r="E93" t="s">
        <v>504</v>
      </c>
      <c r="F93" t="s">
        <v>505</v>
      </c>
      <c r="G93" s="6">
        <v>23.33</v>
      </c>
      <c r="H93" s="6">
        <f t="shared" si="1"/>
        <v>0</v>
      </c>
      <c r="I93">
        <v>23.33</v>
      </c>
      <c r="J93" t="s">
        <v>26</v>
      </c>
      <c r="K93" t="s">
        <v>35</v>
      </c>
    </row>
    <row r="94" spans="1:11" x14ac:dyDescent="0.25">
      <c r="A94" s="8">
        <v>46079</v>
      </c>
      <c r="B94" s="10">
        <v>0.28594907407407405</v>
      </c>
      <c r="C94" t="s">
        <v>1022</v>
      </c>
      <c r="D94" t="s">
        <v>275</v>
      </c>
      <c r="E94" t="s">
        <v>1023</v>
      </c>
      <c r="F94" t="s">
        <v>1024</v>
      </c>
      <c r="G94" s="6">
        <v>24.05</v>
      </c>
      <c r="H94" s="6">
        <f t="shared" si="1"/>
        <v>0</v>
      </c>
      <c r="I94">
        <v>24.05</v>
      </c>
      <c r="J94" t="s">
        <v>27</v>
      </c>
      <c r="K94" t="s">
        <v>35</v>
      </c>
    </row>
    <row r="95" spans="1:11" x14ac:dyDescent="0.25">
      <c r="A95" s="8">
        <v>46079</v>
      </c>
      <c r="B95" s="10">
        <v>0.88936342592592588</v>
      </c>
      <c r="C95" t="s">
        <v>359</v>
      </c>
      <c r="D95" t="s">
        <v>275</v>
      </c>
      <c r="E95" t="s">
        <v>360</v>
      </c>
      <c r="F95" t="s">
        <v>361</v>
      </c>
      <c r="G95" s="6">
        <v>24.4</v>
      </c>
      <c r="H95" s="6">
        <f t="shared" si="1"/>
        <v>0</v>
      </c>
      <c r="I95">
        <v>24.4</v>
      </c>
      <c r="J95" t="s">
        <v>29</v>
      </c>
      <c r="K95" t="s">
        <v>35</v>
      </c>
    </row>
    <row r="96" spans="1:11" x14ac:dyDescent="0.25">
      <c r="A96" s="8">
        <v>46079</v>
      </c>
      <c r="B96" s="10">
        <v>0.24394675925925927</v>
      </c>
      <c r="C96" t="s">
        <v>1082</v>
      </c>
      <c r="D96" t="s">
        <v>275</v>
      </c>
      <c r="E96" t="s">
        <v>1083</v>
      </c>
      <c r="F96" t="s">
        <v>1084</v>
      </c>
      <c r="G96" s="6">
        <v>24.45</v>
      </c>
      <c r="H96" s="6">
        <f t="shared" si="1"/>
        <v>0</v>
      </c>
      <c r="I96">
        <v>24.45</v>
      </c>
      <c r="J96" t="s">
        <v>26</v>
      </c>
      <c r="K96" t="s">
        <v>35</v>
      </c>
    </row>
    <row r="97" spans="1:11" x14ac:dyDescent="0.25">
      <c r="A97" s="8">
        <v>46079</v>
      </c>
      <c r="B97" s="10">
        <v>0.60773148148148148</v>
      </c>
      <c r="C97" t="s">
        <v>629</v>
      </c>
      <c r="D97" t="s">
        <v>275</v>
      </c>
      <c r="E97" t="s">
        <v>630</v>
      </c>
      <c r="F97" t="s">
        <v>631</v>
      </c>
      <c r="G97" s="6">
        <v>25</v>
      </c>
      <c r="H97" s="6">
        <f t="shared" si="1"/>
        <v>0</v>
      </c>
      <c r="I97">
        <v>25</v>
      </c>
      <c r="J97" t="s">
        <v>23</v>
      </c>
      <c r="K97" t="s">
        <v>35</v>
      </c>
    </row>
    <row r="98" spans="1:11" x14ac:dyDescent="0.25">
      <c r="A98" s="8">
        <v>46079</v>
      </c>
      <c r="B98" s="10">
        <v>0.40439814814814817</v>
      </c>
      <c r="C98" t="s">
        <v>887</v>
      </c>
      <c r="D98" t="s">
        <v>275</v>
      </c>
      <c r="E98" t="s">
        <v>888</v>
      </c>
      <c r="F98" t="s">
        <v>889</v>
      </c>
      <c r="G98" s="6">
        <v>25</v>
      </c>
      <c r="H98" s="6">
        <f t="shared" si="1"/>
        <v>0</v>
      </c>
      <c r="I98">
        <v>25</v>
      </c>
      <c r="J98" t="s">
        <v>25</v>
      </c>
      <c r="K98" t="s">
        <v>35</v>
      </c>
    </row>
    <row r="99" spans="1:11" x14ac:dyDescent="0.25">
      <c r="A99" s="8">
        <v>46079</v>
      </c>
      <c r="B99" s="10">
        <v>0.31777777777777777</v>
      </c>
      <c r="C99" t="s">
        <v>995</v>
      </c>
      <c r="D99" t="s">
        <v>275</v>
      </c>
      <c r="E99" t="s">
        <v>996</v>
      </c>
      <c r="F99" t="s">
        <v>997</v>
      </c>
      <c r="G99" s="6">
        <v>25</v>
      </c>
      <c r="H99" s="6">
        <f t="shared" si="1"/>
        <v>0</v>
      </c>
      <c r="I99">
        <v>25</v>
      </c>
      <c r="J99" t="s">
        <v>32</v>
      </c>
      <c r="K99" t="s">
        <v>35</v>
      </c>
    </row>
    <row r="100" spans="1:11" x14ac:dyDescent="0.25">
      <c r="A100" s="8">
        <v>46079</v>
      </c>
      <c r="B100" s="10">
        <v>0.28172453703703704</v>
      </c>
      <c r="C100" t="s">
        <v>1031</v>
      </c>
      <c r="D100" t="s">
        <v>275</v>
      </c>
      <c r="E100" t="s">
        <v>1032</v>
      </c>
      <c r="F100" t="s">
        <v>1033</v>
      </c>
      <c r="G100" s="6">
        <v>25</v>
      </c>
      <c r="H100" s="6">
        <f t="shared" si="1"/>
        <v>0</v>
      </c>
      <c r="I100">
        <v>25</v>
      </c>
      <c r="J100" t="s">
        <v>32</v>
      </c>
      <c r="K100" t="s">
        <v>35</v>
      </c>
    </row>
    <row r="101" spans="1:11" x14ac:dyDescent="0.25">
      <c r="A101" s="8">
        <v>46079</v>
      </c>
      <c r="B101" s="10">
        <v>0.41119212962962964</v>
      </c>
      <c r="C101" t="s">
        <v>860</v>
      </c>
      <c r="D101" t="s">
        <v>275</v>
      </c>
      <c r="E101" t="s">
        <v>861</v>
      </c>
      <c r="F101" t="s">
        <v>862</v>
      </c>
      <c r="G101" s="6">
        <v>25.17</v>
      </c>
      <c r="H101" s="6">
        <f t="shared" si="1"/>
        <v>0</v>
      </c>
      <c r="I101">
        <v>25.17</v>
      </c>
      <c r="J101" t="s">
        <v>23</v>
      </c>
      <c r="K101" t="s">
        <v>35</v>
      </c>
    </row>
    <row r="102" spans="1:11" x14ac:dyDescent="0.25">
      <c r="A102" s="8">
        <v>46079</v>
      </c>
      <c r="B102" s="10">
        <v>0.40391203703703704</v>
      </c>
      <c r="C102" t="s">
        <v>890</v>
      </c>
      <c r="D102" t="s">
        <v>275</v>
      </c>
      <c r="E102" t="s">
        <v>891</v>
      </c>
      <c r="F102" t="s">
        <v>892</v>
      </c>
      <c r="G102" s="6">
        <v>25.64</v>
      </c>
      <c r="H102" s="6">
        <f t="shared" si="1"/>
        <v>0</v>
      </c>
      <c r="I102">
        <v>25.64</v>
      </c>
      <c r="J102" t="s">
        <v>27</v>
      </c>
      <c r="K102" t="s">
        <v>35</v>
      </c>
    </row>
    <row r="103" spans="1:11" x14ac:dyDescent="0.25">
      <c r="A103" s="8">
        <v>46079</v>
      </c>
      <c r="B103" s="10">
        <v>0.69194444444444447</v>
      </c>
      <c r="C103" t="s">
        <v>521</v>
      </c>
      <c r="D103" t="s">
        <v>275</v>
      </c>
      <c r="E103" t="s">
        <v>522</v>
      </c>
      <c r="F103" t="s">
        <v>523</v>
      </c>
      <c r="G103" s="6">
        <v>26</v>
      </c>
      <c r="H103" s="6">
        <f t="shared" si="1"/>
        <v>0</v>
      </c>
      <c r="I103">
        <v>26</v>
      </c>
      <c r="J103" t="s">
        <v>26</v>
      </c>
      <c r="K103" t="s">
        <v>35</v>
      </c>
    </row>
    <row r="104" spans="1:11" x14ac:dyDescent="0.25">
      <c r="A104" s="8">
        <v>46079</v>
      </c>
      <c r="B104" s="10">
        <v>0.63025462962962964</v>
      </c>
      <c r="C104" t="s">
        <v>611</v>
      </c>
      <c r="D104" t="s">
        <v>275</v>
      </c>
      <c r="E104" t="s">
        <v>612</v>
      </c>
      <c r="F104" t="s">
        <v>613</v>
      </c>
      <c r="G104" s="6">
        <v>26.2</v>
      </c>
      <c r="H104" s="6">
        <f t="shared" si="1"/>
        <v>0</v>
      </c>
      <c r="I104">
        <v>26.2</v>
      </c>
      <c r="J104" t="s">
        <v>24</v>
      </c>
      <c r="K104" t="s">
        <v>35</v>
      </c>
    </row>
    <row r="105" spans="1:11" x14ac:dyDescent="0.25">
      <c r="A105" s="8">
        <v>46079</v>
      </c>
      <c r="B105" s="10">
        <v>0.74283564814814818</v>
      </c>
      <c r="C105" t="s">
        <v>467</v>
      </c>
      <c r="D105" t="s">
        <v>275</v>
      </c>
      <c r="E105" t="s">
        <v>468</v>
      </c>
      <c r="F105" t="s">
        <v>469</v>
      </c>
      <c r="G105" s="6">
        <v>26.61</v>
      </c>
      <c r="H105" s="6">
        <f t="shared" si="1"/>
        <v>0</v>
      </c>
      <c r="I105">
        <v>26.61</v>
      </c>
      <c r="J105" t="s">
        <v>32</v>
      </c>
      <c r="K105" t="s">
        <v>35</v>
      </c>
    </row>
    <row r="106" spans="1:11" x14ac:dyDescent="0.25">
      <c r="A106" s="8">
        <v>46079</v>
      </c>
      <c r="B106" s="10">
        <v>0.4010185185185185</v>
      </c>
      <c r="C106" t="s">
        <v>893</v>
      </c>
      <c r="D106" t="s">
        <v>275</v>
      </c>
      <c r="E106" t="s">
        <v>894</v>
      </c>
      <c r="F106" t="s">
        <v>895</v>
      </c>
      <c r="G106" s="6">
        <v>26.69</v>
      </c>
      <c r="H106" s="6">
        <f t="shared" si="1"/>
        <v>0</v>
      </c>
      <c r="I106">
        <v>26.69</v>
      </c>
      <c r="J106" t="s">
        <v>27</v>
      </c>
      <c r="K106" t="s">
        <v>35</v>
      </c>
    </row>
    <row r="107" spans="1:11" x14ac:dyDescent="0.25">
      <c r="A107" s="8">
        <v>46079</v>
      </c>
      <c r="B107" s="10">
        <v>0.6106018518518519</v>
      </c>
      <c r="C107" t="s">
        <v>620</v>
      </c>
      <c r="D107" t="s">
        <v>275</v>
      </c>
      <c r="E107" t="s">
        <v>621</v>
      </c>
      <c r="F107" t="s">
        <v>622</v>
      </c>
      <c r="G107" s="6">
        <v>27</v>
      </c>
      <c r="H107" s="6">
        <f t="shared" si="1"/>
        <v>0</v>
      </c>
      <c r="I107">
        <v>27</v>
      </c>
      <c r="J107" t="s">
        <v>25</v>
      </c>
      <c r="K107" t="s">
        <v>35</v>
      </c>
    </row>
    <row r="108" spans="1:11" x14ac:dyDescent="0.25">
      <c r="A108" s="8">
        <v>46079</v>
      </c>
      <c r="B108" s="10">
        <v>0.88023148148148145</v>
      </c>
      <c r="C108" t="s">
        <v>374</v>
      </c>
      <c r="D108" t="s">
        <v>275</v>
      </c>
      <c r="E108" t="s">
        <v>375</v>
      </c>
      <c r="F108" t="s">
        <v>376</v>
      </c>
      <c r="G108" s="6">
        <v>28</v>
      </c>
      <c r="H108" s="6">
        <f t="shared" si="1"/>
        <v>0</v>
      </c>
      <c r="I108">
        <v>28</v>
      </c>
      <c r="J108" t="s">
        <v>28</v>
      </c>
      <c r="K108" t="s">
        <v>35</v>
      </c>
    </row>
    <row r="109" spans="1:11" x14ac:dyDescent="0.25">
      <c r="A109" s="8">
        <v>46079</v>
      </c>
      <c r="B109" s="10">
        <v>0.71018518518518514</v>
      </c>
      <c r="C109" t="s">
        <v>491</v>
      </c>
      <c r="D109" t="s">
        <v>275</v>
      </c>
      <c r="E109" t="s">
        <v>492</v>
      </c>
      <c r="F109" t="s">
        <v>493</v>
      </c>
      <c r="G109" s="6">
        <v>28.01</v>
      </c>
      <c r="H109" s="6">
        <f t="shared" si="1"/>
        <v>0</v>
      </c>
      <c r="I109">
        <v>28.01</v>
      </c>
      <c r="J109" t="s">
        <v>27</v>
      </c>
      <c r="K109" t="s">
        <v>35</v>
      </c>
    </row>
    <row r="110" spans="1:11" x14ac:dyDescent="0.25">
      <c r="A110" s="8">
        <v>46079</v>
      </c>
      <c r="B110" s="10">
        <v>0.43414351851851851</v>
      </c>
      <c r="C110" t="s">
        <v>827</v>
      </c>
      <c r="D110" t="s">
        <v>275</v>
      </c>
      <c r="E110" t="s">
        <v>828</v>
      </c>
      <c r="F110" t="s">
        <v>829</v>
      </c>
      <c r="G110" s="6">
        <v>28.5</v>
      </c>
      <c r="H110" s="6">
        <f t="shared" si="1"/>
        <v>0</v>
      </c>
      <c r="I110">
        <v>28.5</v>
      </c>
      <c r="J110" t="s">
        <v>23</v>
      </c>
      <c r="K110" t="s">
        <v>35</v>
      </c>
    </row>
    <row r="111" spans="1:11" x14ac:dyDescent="0.25">
      <c r="A111" s="8">
        <v>46079</v>
      </c>
      <c r="B111" s="10">
        <v>0.76295138888888892</v>
      </c>
      <c r="C111" t="s">
        <v>428</v>
      </c>
      <c r="D111" t="s">
        <v>275</v>
      </c>
      <c r="E111" t="s">
        <v>429</v>
      </c>
      <c r="F111" t="s">
        <v>430</v>
      </c>
      <c r="G111" s="6">
        <v>29.22</v>
      </c>
      <c r="H111" s="6">
        <f t="shared" si="1"/>
        <v>0</v>
      </c>
      <c r="I111">
        <v>29.22</v>
      </c>
      <c r="J111" t="s">
        <v>29</v>
      </c>
      <c r="K111" t="s">
        <v>35</v>
      </c>
    </row>
    <row r="112" spans="1:11" x14ac:dyDescent="0.25">
      <c r="A112" s="8">
        <v>46079</v>
      </c>
      <c r="B112" s="10">
        <v>0.80548611111111112</v>
      </c>
      <c r="C112" t="s">
        <v>407</v>
      </c>
      <c r="D112" t="s">
        <v>275</v>
      </c>
      <c r="E112" t="s">
        <v>408</v>
      </c>
      <c r="F112" t="s">
        <v>409</v>
      </c>
      <c r="G112" s="6">
        <v>29.43</v>
      </c>
      <c r="H112" s="6">
        <f t="shared" si="1"/>
        <v>0</v>
      </c>
      <c r="I112">
        <v>29.43</v>
      </c>
      <c r="J112" t="s">
        <v>30</v>
      </c>
      <c r="K112" t="s">
        <v>35</v>
      </c>
    </row>
    <row r="113" spans="1:11" x14ac:dyDescent="0.25">
      <c r="A113" s="8">
        <v>46079</v>
      </c>
      <c r="B113" s="10">
        <v>0.53217592592592589</v>
      </c>
      <c r="C113" t="s">
        <v>710</v>
      </c>
      <c r="D113" t="s">
        <v>275</v>
      </c>
      <c r="E113" t="s">
        <v>711</v>
      </c>
      <c r="F113" t="s">
        <v>712</v>
      </c>
      <c r="G113" s="6">
        <v>29.99</v>
      </c>
      <c r="H113" s="6">
        <f t="shared" si="1"/>
        <v>0</v>
      </c>
      <c r="I113">
        <v>29.99</v>
      </c>
      <c r="J113" t="s">
        <v>26</v>
      </c>
      <c r="K113" t="s">
        <v>35</v>
      </c>
    </row>
    <row r="114" spans="1:11" x14ac:dyDescent="0.25">
      <c r="A114" s="8">
        <v>46079</v>
      </c>
      <c r="B114" s="10">
        <v>0.36524305555555553</v>
      </c>
      <c r="C114" t="s">
        <v>944</v>
      </c>
      <c r="D114" t="s">
        <v>275</v>
      </c>
      <c r="E114" t="s">
        <v>945</v>
      </c>
      <c r="F114" t="s">
        <v>946</v>
      </c>
      <c r="G114" s="6">
        <v>29.99</v>
      </c>
      <c r="H114" s="6">
        <f t="shared" si="1"/>
        <v>0</v>
      </c>
      <c r="I114">
        <v>29.99</v>
      </c>
      <c r="J114" t="s">
        <v>27</v>
      </c>
      <c r="K114" t="s">
        <v>35</v>
      </c>
    </row>
    <row r="115" spans="1:11" x14ac:dyDescent="0.25">
      <c r="A115" s="8">
        <v>46079</v>
      </c>
      <c r="B115" s="10">
        <v>0.98824074074074075</v>
      </c>
      <c r="C115" t="s">
        <v>278</v>
      </c>
      <c r="D115" t="s">
        <v>275</v>
      </c>
      <c r="E115" t="s">
        <v>279</v>
      </c>
      <c r="F115" t="s">
        <v>280</v>
      </c>
      <c r="G115" s="6">
        <v>30</v>
      </c>
      <c r="H115" s="6">
        <f t="shared" si="1"/>
        <v>0</v>
      </c>
      <c r="I115">
        <v>30</v>
      </c>
      <c r="J115" t="s">
        <v>22</v>
      </c>
      <c r="K115" t="s">
        <v>35</v>
      </c>
    </row>
    <row r="116" spans="1:11" x14ac:dyDescent="0.25">
      <c r="A116" s="8">
        <v>46079</v>
      </c>
      <c r="B116" s="10">
        <v>0.96400462962962963</v>
      </c>
      <c r="C116" t="s">
        <v>299</v>
      </c>
      <c r="D116" t="s">
        <v>275</v>
      </c>
      <c r="E116" t="s">
        <v>300</v>
      </c>
      <c r="F116" t="s">
        <v>301</v>
      </c>
      <c r="G116" s="6">
        <v>30</v>
      </c>
      <c r="H116" s="6">
        <f t="shared" si="1"/>
        <v>0</v>
      </c>
      <c r="I116">
        <v>30</v>
      </c>
      <c r="J116" t="s">
        <v>22</v>
      </c>
      <c r="K116" t="s">
        <v>35</v>
      </c>
    </row>
    <row r="117" spans="1:11" x14ac:dyDescent="0.25">
      <c r="A117" s="8">
        <v>46079</v>
      </c>
      <c r="B117" s="10">
        <v>0.9146643518518518</v>
      </c>
      <c r="C117" t="s">
        <v>341</v>
      </c>
      <c r="D117" t="s">
        <v>275</v>
      </c>
      <c r="E117" t="s">
        <v>342</v>
      </c>
      <c r="F117" t="s">
        <v>343</v>
      </c>
      <c r="G117" s="6">
        <v>30</v>
      </c>
      <c r="H117" s="6">
        <f t="shared" si="1"/>
        <v>0</v>
      </c>
      <c r="I117">
        <v>30</v>
      </c>
      <c r="J117" t="s">
        <v>23</v>
      </c>
      <c r="K117" t="s">
        <v>35</v>
      </c>
    </row>
    <row r="118" spans="1:11" x14ac:dyDescent="0.25">
      <c r="A118" s="8">
        <v>46079</v>
      </c>
      <c r="B118" s="10">
        <v>0.89218750000000002</v>
      </c>
      <c r="C118" t="s">
        <v>350</v>
      </c>
      <c r="D118" t="s">
        <v>275</v>
      </c>
      <c r="E118" t="s">
        <v>351</v>
      </c>
      <c r="F118" t="s">
        <v>352</v>
      </c>
      <c r="G118" s="6">
        <v>30</v>
      </c>
      <c r="H118" s="6">
        <f t="shared" si="1"/>
        <v>0</v>
      </c>
      <c r="I118">
        <v>30</v>
      </c>
      <c r="J118" t="s">
        <v>23</v>
      </c>
      <c r="K118" t="s">
        <v>35</v>
      </c>
    </row>
    <row r="119" spans="1:11" x14ac:dyDescent="0.25">
      <c r="A119" s="8">
        <v>46079</v>
      </c>
      <c r="B119" s="10">
        <v>0.85785879629629624</v>
      </c>
      <c r="C119" t="s">
        <v>383</v>
      </c>
      <c r="D119" t="s">
        <v>275</v>
      </c>
      <c r="E119" t="s">
        <v>384</v>
      </c>
      <c r="F119" t="s">
        <v>385</v>
      </c>
      <c r="G119" s="6">
        <v>30</v>
      </c>
      <c r="H119" s="6">
        <f t="shared" si="1"/>
        <v>0</v>
      </c>
      <c r="I119">
        <v>30</v>
      </c>
      <c r="J119" t="s">
        <v>23</v>
      </c>
      <c r="K119" t="s">
        <v>35</v>
      </c>
    </row>
    <row r="120" spans="1:11" x14ac:dyDescent="0.25">
      <c r="A120" s="8">
        <v>46079</v>
      </c>
      <c r="B120" s="10">
        <v>0.74577546296296293</v>
      </c>
      <c r="C120" t="s">
        <v>455</v>
      </c>
      <c r="D120" t="s">
        <v>275</v>
      </c>
      <c r="E120" t="s">
        <v>456</v>
      </c>
      <c r="F120" t="s">
        <v>457</v>
      </c>
      <c r="G120" s="6">
        <v>30</v>
      </c>
      <c r="H120" s="6">
        <f t="shared" si="1"/>
        <v>0</v>
      </c>
      <c r="I120">
        <v>30</v>
      </c>
      <c r="J120" t="s">
        <v>23</v>
      </c>
      <c r="K120" t="s">
        <v>35</v>
      </c>
    </row>
    <row r="121" spans="1:11" x14ac:dyDescent="0.25">
      <c r="A121" s="8">
        <v>46079</v>
      </c>
      <c r="B121" s="10">
        <v>0.74434027777777778</v>
      </c>
      <c r="C121" t="s">
        <v>461</v>
      </c>
      <c r="D121" t="s">
        <v>275</v>
      </c>
      <c r="E121" t="s">
        <v>462</v>
      </c>
      <c r="F121" t="s">
        <v>463</v>
      </c>
      <c r="G121" s="6">
        <v>30</v>
      </c>
      <c r="H121" s="6">
        <f t="shared" si="1"/>
        <v>0</v>
      </c>
      <c r="I121">
        <v>30</v>
      </c>
      <c r="J121" t="s">
        <v>23</v>
      </c>
      <c r="K121" t="s">
        <v>35</v>
      </c>
    </row>
    <row r="122" spans="1:11" x14ac:dyDescent="0.25">
      <c r="A122" s="8">
        <v>46079</v>
      </c>
      <c r="B122" s="10">
        <v>0.74361111111111111</v>
      </c>
      <c r="C122" t="s">
        <v>464</v>
      </c>
      <c r="D122" t="s">
        <v>275</v>
      </c>
      <c r="E122" t="s">
        <v>465</v>
      </c>
      <c r="F122" t="s">
        <v>466</v>
      </c>
      <c r="G122" s="6">
        <v>30</v>
      </c>
      <c r="H122" s="6">
        <f t="shared" si="1"/>
        <v>0</v>
      </c>
      <c r="I122">
        <v>30</v>
      </c>
      <c r="J122" t="s">
        <v>23</v>
      </c>
      <c r="K122" t="s">
        <v>35</v>
      </c>
    </row>
    <row r="123" spans="1:11" x14ac:dyDescent="0.25">
      <c r="A123" s="8">
        <v>46079</v>
      </c>
      <c r="B123" s="10">
        <v>0.66900462962962959</v>
      </c>
      <c r="C123" t="s">
        <v>551</v>
      </c>
      <c r="D123" t="s">
        <v>275</v>
      </c>
      <c r="E123" t="s">
        <v>552</v>
      </c>
      <c r="F123" t="s">
        <v>553</v>
      </c>
      <c r="G123" s="6">
        <v>30</v>
      </c>
      <c r="H123" s="6">
        <f t="shared" si="1"/>
        <v>0</v>
      </c>
      <c r="I123">
        <v>30</v>
      </c>
      <c r="J123" t="s">
        <v>24</v>
      </c>
      <c r="K123" t="s">
        <v>35</v>
      </c>
    </row>
    <row r="124" spans="1:11" x14ac:dyDescent="0.25">
      <c r="A124" s="8">
        <v>46079</v>
      </c>
      <c r="B124" s="10">
        <v>0.6685416666666667</v>
      </c>
      <c r="C124" t="s">
        <v>554</v>
      </c>
      <c r="D124" t="s">
        <v>275</v>
      </c>
      <c r="E124" t="s">
        <v>555</v>
      </c>
      <c r="F124" t="s">
        <v>556</v>
      </c>
      <c r="G124" s="6">
        <v>30</v>
      </c>
      <c r="H124" s="6">
        <f t="shared" si="1"/>
        <v>0</v>
      </c>
      <c r="I124">
        <v>30</v>
      </c>
      <c r="J124" t="s">
        <v>26</v>
      </c>
      <c r="K124" t="s">
        <v>35</v>
      </c>
    </row>
    <row r="125" spans="1:11" x14ac:dyDescent="0.25">
      <c r="A125" s="8">
        <v>46079</v>
      </c>
      <c r="B125" s="10">
        <v>0.66293981481481479</v>
      </c>
      <c r="C125" t="s">
        <v>572</v>
      </c>
      <c r="D125" t="s">
        <v>275</v>
      </c>
      <c r="E125" t="s">
        <v>573</v>
      </c>
      <c r="F125" t="s">
        <v>574</v>
      </c>
      <c r="G125" s="6">
        <v>30</v>
      </c>
      <c r="H125" s="6">
        <f t="shared" si="1"/>
        <v>0</v>
      </c>
      <c r="I125">
        <v>30</v>
      </c>
      <c r="J125" t="s">
        <v>26</v>
      </c>
      <c r="K125" t="s">
        <v>35</v>
      </c>
    </row>
    <row r="126" spans="1:11" x14ac:dyDescent="0.25">
      <c r="A126" s="8">
        <v>46079</v>
      </c>
      <c r="B126" s="10">
        <v>0.65938657407407408</v>
      </c>
      <c r="C126" t="s">
        <v>578</v>
      </c>
      <c r="D126" t="s">
        <v>275</v>
      </c>
      <c r="E126" t="s">
        <v>579</v>
      </c>
      <c r="F126" t="s">
        <v>580</v>
      </c>
      <c r="G126" s="6">
        <v>30</v>
      </c>
      <c r="H126" s="6">
        <f t="shared" si="1"/>
        <v>0</v>
      </c>
      <c r="I126">
        <v>30</v>
      </c>
      <c r="J126" t="s">
        <v>26</v>
      </c>
      <c r="K126" t="s">
        <v>35</v>
      </c>
    </row>
    <row r="127" spans="1:11" x14ac:dyDescent="0.25">
      <c r="A127" s="8">
        <v>46079</v>
      </c>
      <c r="B127" s="10">
        <v>0.64590277777777783</v>
      </c>
      <c r="C127" t="s">
        <v>599</v>
      </c>
      <c r="D127" t="s">
        <v>275</v>
      </c>
      <c r="E127" t="s">
        <v>600</v>
      </c>
      <c r="F127" t="s">
        <v>601</v>
      </c>
      <c r="G127" s="6">
        <v>30</v>
      </c>
      <c r="H127" s="6">
        <f t="shared" si="1"/>
        <v>0</v>
      </c>
      <c r="I127">
        <v>30</v>
      </c>
      <c r="J127" t="s">
        <v>26</v>
      </c>
      <c r="K127" t="s">
        <v>35</v>
      </c>
    </row>
    <row r="128" spans="1:11" x14ac:dyDescent="0.25">
      <c r="A128" s="8">
        <v>46079</v>
      </c>
      <c r="B128" s="10">
        <v>0.61657407407407405</v>
      </c>
      <c r="C128" t="s">
        <v>614</v>
      </c>
      <c r="D128" t="s">
        <v>275</v>
      </c>
      <c r="E128" t="s">
        <v>615</v>
      </c>
      <c r="F128" t="s">
        <v>616</v>
      </c>
      <c r="G128" s="6">
        <v>30</v>
      </c>
      <c r="H128" s="6">
        <f t="shared" si="1"/>
        <v>0</v>
      </c>
      <c r="I128">
        <v>30</v>
      </c>
      <c r="J128" t="s">
        <v>27</v>
      </c>
      <c r="K128" t="s">
        <v>35</v>
      </c>
    </row>
    <row r="129" spans="1:11" x14ac:dyDescent="0.25">
      <c r="A129" s="8">
        <v>46079</v>
      </c>
      <c r="B129" s="10">
        <v>0.52531249999999996</v>
      </c>
      <c r="C129" t="s">
        <v>719</v>
      </c>
      <c r="D129" t="s">
        <v>275</v>
      </c>
      <c r="E129" t="s">
        <v>720</v>
      </c>
      <c r="F129" t="s">
        <v>721</v>
      </c>
      <c r="G129" s="6">
        <v>30</v>
      </c>
      <c r="H129" s="6">
        <f t="shared" si="1"/>
        <v>0</v>
      </c>
      <c r="I129">
        <v>30</v>
      </c>
      <c r="J129" t="s">
        <v>27</v>
      </c>
      <c r="K129" t="s">
        <v>35</v>
      </c>
    </row>
    <row r="130" spans="1:11" x14ac:dyDescent="0.25">
      <c r="A130" s="8">
        <v>46079</v>
      </c>
      <c r="B130" s="10">
        <v>0.50898148148148148</v>
      </c>
      <c r="C130" t="s">
        <v>737</v>
      </c>
      <c r="D130" t="s">
        <v>275</v>
      </c>
      <c r="E130" t="s">
        <v>738</v>
      </c>
      <c r="F130" t="s">
        <v>739</v>
      </c>
      <c r="G130" s="6">
        <v>30</v>
      </c>
      <c r="H130" s="6">
        <f t="shared" si="1"/>
        <v>0</v>
      </c>
      <c r="I130">
        <v>30</v>
      </c>
      <c r="J130" t="s">
        <v>28</v>
      </c>
      <c r="K130" t="s">
        <v>35</v>
      </c>
    </row>
    <row r="131" spans="1:11" x14ac:dyDescent="0.25">
      <c r="A131" s="8">
        <v>46079</v>
      </c>
      <c r="B131" s="10">
        <v>0.40714120370370371</v>
      </c>
      <c r="C131" t="s">
        <v>881</v>
      </c>
      <c r="D131" t="s">
        <v>275</v>
      </c>
      <c r="E131" t="s">
        <v>882</v>
      </c>
      <c r="F131" t="s">
        <v>883</v>
      </c>
      <c r="G131" s="6">
        <v>30</v>
      </c>
      <c r="H131" s="6">
        <f t="shared" ref="H131:H194" si="2">G131-I131</f>
        <v>0</v>
      </c>
      <c r="I131">
        <v>30</v>
      </c>
      <c r="J131" t="s">
        <v>28</v>
      </c>
      <c r="K131" t="s">
        <v>35</v>
      </c>
    </row>
    <row r="132" spans="1:11" x14ac:dyDescent="0.25">
      <c r="A132" s="8">
        <v>46079</v>
      </c>
      <c r="B132" s="10">
        <v>0.37555555555555553</v>
      </c>
      <c r="C132" t="s">
        <v>923</v>
      </c>
      <c r="D132" t="s">
        <v>275</v>
      </c>
      <c r="E132" t="s">
        <v>924</v>
      </c>
      <c r="F132" t="s">
        <v>925</v>
      </c>
      <c r="G132" s="6">
        <v>30</v>
      </c>
      <c r="H132" s="6">
        <f t="shared" si="2"/>
        <v>0</v>
      </c>
      <c r="I132">
        <v>30</v>
      </c>
      <c r="J132" t="s">
        <v>29</v>
      </c>
      <c r="K132" t="s">
        <v>35</v>
      </c>
    </row>
    <row r="133" spans="1:11" x14ac:dyDescent="0.25">
      <c r="A133" s="8">
        <v>46079</v>
      </c>
      <c r="B133" s="10">
        <v>0.33260416666666665</v>
      </c>
      <c r="C133" s="11" t="s">
        <v>977</v>
      </c>
      <c r="D133" t="s">
        <v>275</v>
      </c>
      <c r="E133" t="s">
        <v>978</v>
      </c>
      <c r="F133" t="s">
        <v>979</v>
      </c>
      <c r="G133" s="6">
        <v>30</v>
      </c>
      <c r="H133" s="6">
        <f t="shared" si="2"/>
        <v>0</v>
      </c>
      <c r="I133">
        <v>30</v>
      </c>
      <c r="J133" t="s">
        <v>29</v>
      </c>
      <c r="K133" t="s">
        <v>35</v>
      </c>
    </row>
    <row r="134" spans="1:11" x14ac:dyDescent="0.25">
      <c r="A134" s="8">
        <v>46079</v>
      </c>
      <c r="B134" s="10">
        <v>0.30804398148148149</v>
      </c>
      <c r="C134" t="s">
        <v>1001</v>
      </c>
      <c r="D134" t="s">
        <v>275</v>
      </c>
      <c r="E134" t="s">
        <v>1002</v>
      </c>
      <c r="F134" t="s">
        <v>1003</v>
      </c>
      <c r="G134" s="6">
        <v>30</v>
      </c>
      <c r="H134" s="6">
        <f t="shared" si="2"/>
        <v>0</v>
      </c>
      <c r="I134">
        <v>30</v>
      </c>
      <c r="J134" t="s">
        <v>30</v>
      </c>
      <c r="K134" t="s">
        <v>35</v>
      </c>
    </row>
    <row r="135" spans="1:11" x14ac:dyDescent="0.25">
      <c r="A135" s="8">
        <v>46079</v>
      </c>
      <c r="B135" s="10">
        <v>0.30069444444444443</v>
      </c>
      <c r="C135" t="s">
        <v>1010</v>
      </c>
      <c r="D135" t="s">
        <v>275</v>
      </c>
      <c r="E135" t="s">
        <v>1011</v>
      </c>
      <c r="F135" t="s">
        <v>1012</v>
      </c>
      <c r="G135" s="6">
        <v>30</v>
      </c>
      <c r="H135" s="6">
        <f t="shared" si="2"/>
        <v>0</v>
      </c>
      <c r="I135">
        <v>30</v>
      </c>
      <c r="J135" t="s">
        <v>30</v>
      </c>
      <c r="K135" t="s">
        <v>35</v>
      </c>
    </row>
    <row r="136" spans="1:11" x14ac:dyDescent="0.25">
      <c r="A136" s="8">
        <v>46079</v>
      </c>
      <c r="B136" s="10">
        <v>0.26089120370370372</v>
      </c>
      <c r="C136" t="s">
        <v>1064</v>
      </c>
      <c r="D136" t="s">
        <v>275</v>
      </c>
      <c r="E136" t="s">
        <v>1065</v>
      </c>
      <c r="F136" t="s">
        <v>1066</v>
      </c>
      <c r="G136" s="6">
        <v>30</v>
      </c>
      <c r="H136" s="6">
        <f t="shared" si="2"/>
        <v>0</v>
      </c>
      <c r="I136">
        <v>30</v>
      </c>
      <c r="J136" t="s">
        <v>31</v>
      </c>
      <c r="K136" t="s">
        <v>35</v>
      </c>
    </row>
    <row r="137" spans="1:11" x14ac:dyDescent="0.25">
      <c r="A137" s="8">
        <v>46079</v>
      </c>
      <c r="B137" s="10">
        <v>0.23174768518518518</v>
      </c>
      <c r="C137" t="s">
        <v>1094</v>
      </c>
      <c r="D137" t="s">
        <v>275</v>
      </c>
      <c r="E137" t="s">
        <v>1095</v>
      </c>
      <c r="F137" t="s">
        <v>1096</v>
      </c>
      <c r="G137" s="6">
        <v>30</v>
      </c>
      <c r="H137" s="6">
        <f t="shared" si="2"/>
        <v>0</v>
      </c>
      <c r="I137">
        <v>30</v>
      </c>
      <c r="J137" t="s">
        <v>31</v>
      </c>
      <c r="K137" t="s">
        <v>35</v>
      </c>
    </row>
    <row r="138" spans="1:11" x14ac:dyDescent="0.25">
      <c r="A138" s="8">
        <v>46079</v>
      </c>
      <c r="B138" s="10">
        <v>0.19356481481481483</v>
      </c>
      <c r="C138" t="s">
        <v>1124</v>
      </c>
      <c r="D138" t="s">
        <v>275</v>
      </c>
      <c r="E138" t="s">
        <v>1125</v>
      </c>
      <c r="F138" t="s">
        <v>1126</v>
      </c>
      <c r="G138" s="6">
        <v>30</v>
      </c>
      <c r="H138" s="6">
        <f t="shared" si="2"/>
        <v>0</v>
      </c>
      <c r="I138">
        <v>30</v>
      </c>
      <c r="J138" t="s">
        <v>31</v>
      </c>
      <c r="K138" t="s">
        <v>35</v>
      </c>
    </row>
    <row r="139" spans="1:11" x14ac:dyDescent="0.25">
      <c r="A139" s="8">
        <v>46079</v>
      </c>
      <c r="B139" s="10">
        <v>0.18892361111111111</v>
      </c>
      <c r="C139" t="s">
        <v>1127</v>
      </c>
      <c r="D139" t="s">
        <v>275</v>
      </c>
      <c r="E139" t="s">
        <v>1128</v>
      </c>
      <c r="F139" t="s">
        <v>1129</v>
      </c>
      <c r="G139" s="6">
        <v>30</v>
      </c>
      <c r="H139" s="6">
        <f t="shared" si="2"/>
        <v>0</v>
      </c>
      <c r="I139">
        <v>30</v>
      </c>
      <c r="J139" t="s">
        <v>32</v>
      </c>
      <c r="K139" t="s">
        <v>35</v>
      </c>
    </row>
    <row r="140" spans="1:11" x14ac:dyDescent="0.25">
      <c r="A140" s="8">
        <v>46079</v>
      </c>
      <c r="B140" s="10">
        <v>0.1269675925925926</v>
      </c>
      <c r="C140" t="s">
        <v>1133</v>
      </c>
      <c r="D140" t="s">
        <v>275</v>
      </c>
      <c r="E140" t="s">
        <v>1134</v>
      </c>
      <c r="F140" t="s">
        <v>1135</v>
      </c>
      <c r="G140" s="6">
        <v>30</v>
      </c>
      <c r="H140" s="6">
        <f t="shared" si="2"/>
        <v>0</v>
      </c>
      <c r="I140">
        <v>30</v>
      </c>
      <c r="J140" t="s">
        <v>32</v>
      </c>
      <c r="K140" t="s">
        <v>35</v>
      </c>
    </row>
    <row r="141" spans="1:11" x14ac:dyDescent="0.25">
      <c r="A141" s="8">
        <v>46079</v>
      </c>
      <c r="B141" s="10">
        <v>0.10415509259259259</v>
      </c>
      <c r="C141" t="s">
        <v>1136</v>
      </c>
      <c r="D141" t="s">
        <v>275</v>
      </c>
      <c r="E141" t="s">
        <v>1137</v>
      </c>
      <c r="F141" t="s">
        <v>1138</v>
      </c>
      <c r="G141" s="6">
        <v>30</v>
      </c>
      <c r="H141" s="6">
        <f t="shared" si="2"/>
        <v>0</v>
      </c>
      <c r="I141">
        <v>30</v>
      </c>
      <c r="J141" t="s">
        <v>32</v>
      </c>
      <c r="K141" t="s">
        <v>35</v>
      </c>
    </row>
    <row r="142" spans="1:11" x14ac:dyDescent="0.25">
      <c r="A142" s="8">
        <v>46079</v>
      </c>
      <c r="B142" s="10">
        <v>0.65986111111111112</v>
      </c>
      <c r="C142" t="s">
        <v>575</v>
      </c>
      <c r="D142" t="s">
        <v>275</v>
      </c>
      <c r="E142" t="s">
        <v>576</v>
      </c>
      <c r="F142" t="s">
        <v>577</v>
      </c>
      <c r="G142" s="6">
        <v>30.13</v>
      </c>
      <c r="H142" s="6">
        <f t="shared" si="2"/>
        <v>0</v>
      </c>
      <c r="I142">
        <v>30.13</v>
      </c>
      <c r="J142" t="s">
        <v>32</v>
      </c>
      <c r="K142" t="s">
        <v>35</v>
      </c>
    </row>
    <row r="143" spans="1:11" x14ac:dyDescent="0.25">
      <c r="A143" s="8">
        <v>46079</v>
      </c>
      <c r="B143" s="10">
        <v>0.40855324074074073</v>
      </c>
      <c r="C143" t="s">
        <v>875</v>
      </c>
      <c r="D143" t="s">
        <v>275</v>
      </c>
      <c r="E143" t="s">
        <v>876</v>
      </c>
      <c r="F143" t="s">
        <v>877</v>
      </c>
      <c r="G143" s="6">
        <v>30.85</v>
      </c>
      <c r="H143" s="6">
        <f t="shared" si="2"/>
        <v>0</v>
      </c>
      <c r="I143">
        <v>30.85</v>
      </c>
      <c r="J143" t="s">
        <v>23</v>
      </c>
      <c r="K143" t="s">
        <v>35</v>
      </c>
    </row>
    <row r="144" spans="1:11" x14ac:dyDescent="0.25">
      <c r="A144" s="8">
        <v>46079</v>
      </c>
      <c r="B144" s="10">
        <v>0.38516203703703705</v>
      </c>
      <c r="C144" t="s">
        <v>917</v>
      </c>
      <c r="D144" t="s">
        <v>275</v>
      </c>
      <c r="E144" t="s">
        <v>918</v>
      </c>
      <c r="F144" t="s">
        <v>919</v>
      </c>
      <c r="G144" s="6">
        <v>31.03</v>
      </c>
      <c r="H144" s="6">
        <f t="shared" si="2"/>
        <v>0</v>
      </c>
      <c r="I144">
        <v>31.03</v>
      </c>
      <c r="J144" t="s">
        <v>22</v>
      </c>
      <c r="K144" t="s">
        <v>35</v>
      </c>
    </row>
    <row r="145" spans="1:11" x14ac:dyDescent="0.25">
      <c r="A145" s="8">
        <v>46079</v>
      </c>
      <c r="B145" s="10">
        <v>2.0289351851851854E-2</v>
      </c>
      <c r="C145" t="s">
        <v>1151</v>
      </c>
      <c r="D145" t="s">
        <v>275</v>
      </c>
      <c r="E145" t="s">
        <v>1152</v>
      </c>
      <c r="F145" t="s">
        <v>1153</v>
      </c>
      <c r="G145" s="6">
        <v>31.03</v>
      </c>
      <c r="H145" s="6">
        <f t="shared" si="2"/>
        <v>0</v>
      </c>
      <c r="I145">
        <v>31.03</v>
      </c>
      <c r="J145" t="s">
        <v>23</v>
      </c>
      <c r="K145" t="s">
        <v>35</v>
      </c>
    </row>
    <row r="146" spans="1:11" x14ac:dyDescent="0.25">
      <c r="A146" s="8">
        <v>46079</v>
      </c>
      <c r="B146" s="10">
        <v>0.39061342592592591</v>
      </c>
      <c r="C146" t="s">
        <v>908</v>
      </c>
      <c r="D146" t="s">
        <v>275</v>
      </c>
      <c r="E146" t="s">
        <v>909</v>
      </c>
      <c r="F146" t="s">
        <v>910</v>
      </c>
      <c r="G146" s="6">
        <v>32.07</v>
      </c>
      <c r="H146" s="6">
        <f t="shared" si="2"/>
        <v>0</v>
      </c>
      <c r="I146">
        <v>32.07</v>
      </c>
      <c r="J146" t="s">
        <v>25</v>
      </c>
      <c r="K146" t="s">
        <v>35</v>
      </c>
    </row>
    <row r="147" spans="1:11" x14ac:dyDescent="0.25">
      <c r="A147" s="8">
        <v>46079</v>
      </c>
      <c r="B147" s="10">
        <v>0.58940972222222221</v>
      </c>
      <c r="C147" t="s">
        <v>656</v>
      </c>
      <c r="D147" t="s">
        <v>275</v>
      </c>
      <c r="E147" t="s">
        <v>657</v>
      </c>
      <c r="F147" t="s">
        <v>658</v>
      </c>
      <c r="G147" s="6">
        <v>32.18</v>
      </c>
      <c r="H147" s="6">
        <f t="shared" si="2"/>
        <v>0</v>
      </c>
      <c r="I147">
        <v>32.18</v>
      </c>
      <c r="J147" t="s">
        <v>32</v>
      </c>
      <c r="K147" t="s">
        <v>35</v>
      </c>
    </row>
    <row r="148" spans="1:11" x14ac:dyDescent="0.25">
      <c r="A148" s="8">
        <v>46079</v>
      </c>
      <c r="B148" s="10">
        <v>0.93331018518518516</v>
      </c>
      <c r="C148" t="s">
        <v>320</v>
      </c>
      <c r="D148" t="s">
        <v>275</v>
      </c>
      <c r="E148" t="s">
        <v>321</v>
      </c>
      <c r="F148" t="s">
        <v>322</v>
      </c>
      <c r="G148" s="6">
        <v>32.19</v>
      </c>
      <c r="H148" s="6">
        <f t="shared" si="2"/>
        <v>0</v>
      </c>
      <c r="I148">
        <v>32.19</v>
      </c>
      <c r="J148" t="s">
        <v>30</v>
      </c>
      <c r="K148" t="s">
        <v>35</v>
      </c>
    </row>
    <row r="149" spans="1:11" x14ac:dyDescent="0.25">
      <c r="A149" s="8">
        <v>46079</v>
      </c>
      <c r="B149" s="10">
        <v>0.31981481481481483</v>
      </c>
      <c r="C149" t="s">
        <v>989</v>
      </c>
      <c r="D149" t="s">
        <v>275</v>
      </c>
      <c r="E149" t="s">
        <v>990</v>
      </c>
      <c r="F149" t="s">
        <v>991</v>
      </c>
      <c r="G149" s="6">
        <v>32.33</v>
      </c>
      <c r="H149" s="6">
        <f t="shared" si="2"/>
        <v>0</v>
      </c>
      <c r="I149">
        <v>32.33</v>
      </c>
      <c r="J149" t="s">
        <v>25</v>
      </c>
      <c r="K149" t="s">
        <v>35</v>
      </c>
    </row>
    <row r="150" spans="1:11" x14ac:dyDescent="0.25">
      <c r="A150" s="8">
        <v>46079</v>
      </c>
      <c r="B150" s="10">
        <v>0.38358796296296294</v>
      </c>
      <c r="C150" t="s">
        <v>920</v>
      </c>
      <c r="D150" t="s">
        <v>275</v>
      </c>
      <c r="E150" t="s">
        <v>921</v>
      </c>
      <c r="F150" t="s">
        <v>922</v>
      </c>
      <c r="G150" s="6">
        <v>33.229999999999997</v>
      </c>
      <c r="H150" s="6">
        <f t="shared" si="2"/>
        <v>0</v>
      </c>
      <c r="I150">
        <v>33.229999999999997</v>
      </c>
      <c r="J150" t="s">
        <v>25</v>
      </c>
      <c r="K150" t="s">
        <v>35</v>
      </c>
    </row>
    <row r="151" spans="1:11" x14ac:dyDescent="0.25">
      <c r="A151" s="8">
        <v>46079</v>
      </c>
      <c r="B151" s="10">
        <v>0.61509259259259264</v>
      </c>
      <c r="C151" t="s">
        <v>617</v>
      </c>
      <c r="D151" t="s">
        <v>275</v>
      </c>
      <c r="E151" t="s">
        <v>618</v>
      </c>
      <c r="F151" t="s">
        <v>619</v>
      </c>
      <c r="G151" s="6">
        <v>33.74</v>
      </c>
      <c r="H151" s="6">
        <f t="shared" si="2"/>
        <v>0</v>
      </c>
      <c r="I151">
        <v>33.74</v>
      </c>
      <c r="J151" t="s">
        <v>30</v>
      </c>
      <c r="K151" t="s">
        <v>35</v>
      </c>
    </row>
    <row r="152" spans="1:11" x14ac:dyDescent="0.25">
      <c r="A152" s="8">
        <v>46079</v>
      </c>
      <c r="B152" s="10">
        <v>0.68766203703703699</v>
      </c>
      <c r="C152" t="s">
        <v>530</v>
      </c>
      <c r="D152" t="s">
        <v>275</v>
      </c>
      <c r="E152" t="s">
        <v>531</v>
      </c>
      <c r="F152" t="s">
        <v>532</v>
      </c>
      <c r="G152" s="6">
        <v>33.979999999999997</v>
      </c>
      <c r="H152" s="6">
        <f t="shared" si="2"/>
        <v>0</v>
      </c>
      <c r="I152">
        <v>33.979999999999997</v>
      </c>
      <c r="J152" t="s">
        <v>32</v>
      </c>
      <c r="K152" t="s">
        <v>35</v>
      </c>
    </row>
    <row r="153" spans="1:11" x14ac:dyDescent="0.25">
      <c r="A153" s="8">
        <v>46079</v>
      </c>
      <c r="B153" s="10">
        <v>0.41940972222222223</v>
      </c>
      <c r="C153" t="s">
        <v>845</v>
      </c>
      <c r="D153" t="s">
        <v>275</v>
      </c>
      <c r="E153" t="s">
        <v>846</v>
      </c>
      <c r="F153" t="s">
        <v>847</v>
      </c>
      <c r="G153" s="6">
        <v>34.200000000000003</v>
      </c>
      <c r="H153" s="6">
        <f t="shared" si="2"/>
        <v>0</v>
      </c>
      <c r="I153">
        <v>34.200000000000003</v>
      </c>
      <c r="J153" t="s">
        <v>27</v>
      </c>
      <c r="K153" t="s">
        <v>35</v>
      </c>
    </row>
    <row r="154" spans="1:11" x14ac:dyDescent="0.25">
      <c r="A154" s="8">
        <v>46079</v>
      </c>
      <c r="B154" s="10">
        <v>0.4098148148148148</v>
      </c>
      <c r="C154" t="s">
        <v>872</v>
      </c>
      <c r="D154" t="s">
        <v>275</v>
      </c>
      <c r="E154" t="s">
        <v>873</v>
      </c>
      <c r="F154" t="s">
        <v>874</v>
      </c>
      <c r="G154" s="6">
        <v>35</v>
      </c>
      <c r="H154" s="6">
        <f t="shared" si="2"/>
        <v>0</v>
      </c>
      <c r="I154">
        <v>35</v>
      </c>
      <c r="J154" t="s">
        <v>26</v>
      </c>
      <c r="K154" t="s">
        <v>35</v>
      </c>
    </row>
    <row r="155" spans="1:11" x14ac:dyDescent="0.25">
      <c r="A155" s="8">
        <v>46079</v>
      </c>
      <c r="B155" s="10">
        <v>0.28196759259259258</v>
      </c>
      <c r="C155" t="s">
        <v>1028</v>
      </c>
      <c r="D155" t="s">
        <v>275</v>
      </c>
      <c r="E155" t="s">
        <v>1029</v>
      </c>
      <c r="F155" t="s">
        <v>1030</v>
      </c>
      <c r="G155" s="6">
        <v>35</v>
      </c>
      <c r="H155" s="6">
        <f t="shared" si="2"/>
        <v>0</v>
      </c>
      <c r="I155">
        <v>35</v>
      </c>
      <c r="J155" t="s">
        <v>27</v>
      </c>
      <c r="K155" t="s">
        <v>35</v>
      </c>
    </row>
    <row r="156" spans="1:11" x14ac:dyDescent="0.25">
      <c r="A156" s="8">
        <v>46079</v>
      </c>
      <c r="B156" s="10">
        <v>0.67606481481481484</v>
      </c>
      <c r="C156" t="s">
        <v>539</v>
      </c>
      <c r="D156" t="s">
        <v>275</v>
      </c>
      <c r="E156" t="s">
        <v>540</v>
      </c>
      <c r="F156" t="s">
        <v>541</v>
      </c>
      <c r="G156" s="6">
        <v>35.5</v>
      </c>
      <c r="H156" s="6">
        <f t="shared" si="2"/>
        <v>0</v>
      </c>
      <c r="I156">
        <v>35.5</v>
      </c>
      <c r="J156" t="s">
        <v>26</v>
      </c>
      <c r="K156" t="s">
        <v>35</v>
      </c>
    </row>
    <row r="157" spans="1:11" x14ac:dyDescent="0.25">
      <c r="A157" s="8">
        <v>46079</v>
      </c>
      <c r="B157" s="10">
        <v>0.50381944444444449</v>
      </c>
      <c r="C157" t="s">
        <v>743</v>
      </c>
      <c r="D157" t="s">
        <v>275</v>
      </c>
      <c r="E157" t="s">
        <v>744</v>
      </c>
      <c r="F157" t="s">
        <v>745</v>
      </c>
      <c r="G157" s="6">
        <v>37.51</v>
      </c>
      <c r="H157" s="6">
        <f t="shared" si="2"/>
        <v>0</v>
      </c>
      <c r="I157">
        <v>37.51</v>
      </c>
      <c r="J157" t="s">
        <v>23</v>
      </c>
      <c r="K157" t="s">
        <v>35</v>
      </c>
    </row>
    <row r="158" spans="1:11" x14ac:dyDescent="0.25">
      <c r="A158" s="8">
        <v>46079</v>
      </c>
      <c r="B158" s="10">
        <v>0.45108796296296294</v>
      </c>
      <c r="C158" t="s">
        <v>806</v>
      </c>
      <c r="D158" t="s">
        <v>275</v>
      </c>
      <c r="E158" t="s">
        <v>807</v>
      </c>
      <c r="F158" t="s">
        <v>808</v>
      </c>
      <c r="G158" s="6">
        <v>37.67</v>
      </c>
      <c r="H158" s="6">
        <f t="shared" si="2"/>
        <v>0</v>
      </c>
      <c r="I158">
        <v>37.67</v>
      </c>
      <c r="J158" t="s">
        <v>23</v>
      </c>
      <c r="K158" t="s">
        <v>35</v>
      </c>
    </row>
    <row r="159" spans="1:11" x14ac:dyDescent="0.25">
      <c r="A159" s="8">
        <v>46079</v>
      </c>
      <c r="B159" s="10">
        <v>0.59851851851851856</v>
      </c>
      <c r="C159" s="11" t="s">
        <v>644</v>
      </c>
      <c r="D159" t="s">
        <v>275</v>
      </c>
      <c r="E159" t="s">
        <v>645</v>
      </c>
      <c r="F159" t="s">
        <v>646</v>
      </c>
      <c r="G159" s="6">
        <v>37.770000000000003</v>
      </c>
      <c r="H159" s="6">
        <f t="shared" si="2"/>
        <v>0</v>
      </c>
      <c r="I159">
        <v>37.770000000000003</v>
      </c>
      <c r="J159" t="s">
        <v>32</v>
      </c>
      <c r="K159" t="s">
        <v>35</v>
      </c>
    </row>
    <row r="160" spans="1:11" x14ac:dyDescent="0.25">
      <c r="A160" s="8">
        <v>46079</v>
      </c>
      <c r="B160" s="10">
        <v>0.60225694444444444</v>
      </c>
      <c r="C160" t="s">
        <v>638</v>
      </c>
      <c r="D160" t="s">
        <v>275</v>
      </c>
      <c r="E160" t="s">
        <v>639</v>
      </c>
      <c r="F160" t="s">
        <v>640</v>
      </c>
      <c r="G160" s="6">
        <v>37.92</v>
      </c>
      <c r="H160" s="6">
        <f t="shared" si="2"/>
        <v>0</v>
      </c>
      <c r="I160">
        <v>37.92</v>
      </c>
      <c r="J160" t="s">
        <v>26</v>
      </c>
      <c r="K160" t="s">
        <v>35</v>
      </c>
    </row>
    <row r="161" spans="1:11" x14ac:dyDescent="0.25">
      <c r="A161" s="8">
        <v>46079</v>
      </c>
      <c r="B161" s="10">
        <v>0.22342592592592592</v>
      </c>
      <c r="C161" t="s">
        <v>1100</v>
      </c>
      <c r="D161" t="s">
        <v>275</v>
      </c>
      <c r="E161" t="s">
        <v>1101</v>
      </c>
      <c r="F161" t="s">
        <v>1102</v>
      </c>
      <c r="G161" s="6">
        <v>38.700000000000003</v>
      </c>
      <c r="H161" s="6">
        <f t="shared" si="2"/>
        <v>0</v>
      </c>
      <c r="I161">
        <v>38.700000000000003</v>
      </c>
      <c r="J161" t="s">
        <v>22</v>
      </c>
      <c r="K161" t="s">
        <v>35</v>
      </c>
    </row>
    <row r="162" spans="1:11" x14ac:dyDescent="0.25">
      <c r="A162" s="8">
        <v>46079</v>
      </c>
      <c r="B162" s="10">
        <v>0.82671296296296293</v>
      </c>
      <c r="C162" t="s">
        <v>401</v>
      </c>
      <c r="D162" t="s">
        <v>275</v>
      </c>
      <c r="E162" t="s">
        <v>402</v>
      </c>
      <c r="F162" t="s">
        <v>403</v>
      </c>
      <c r="G162" s="6">
        <v>39.07</v>
      </c>
      <c r="H162" s="6">
        <f t="shared" si="2"/>
        <v>0</v>
      </c>
      <c r="I162">
        <v>39.07</v>
      </c>
      <c r="J162" t="s">
        <v>29</v>
      </c>
      <c r="K162" t="s">
        <v>35</v>
      </c>
    </row>
    <row r="163" spans="1:11" x14ac:dyDescent="0.25">
      <c r="A163" s="8">
        <v>46079</v>
      </c>
      <c r="B163" s="10">
        <v>0.41115740740740742</v>
      </c>
      <c r="C163" t="s">
        <v>863</v>
      </c>
      <c r="D163" t="s">
        <v>275</v>
      </c>
      <c r="E163" t="s">
        <v>864</v>
      </c>
      <c r="F163" t="s">
        <v>865</v>
      </c>
      <c r="G163" s="6">
        <v>39.78</v>
      </c>
      <c r="H163" s="6">
        <f t="shared" si="2"/>
        <v>0</v>
      </c>
      <c r="I163">
        <v>39.78</v>
      </c>
      <c r="J163" t="s">
        <v>27</v>
      </c>
      <c r="K163" t="s">
        <v>35</v>
      </c>
    </row>
    <row r="164" spans="1:11" x14ac:dyDescent="0.25">
      <c r="A164" s="8">
        <v>46079</v>
      </c>
      <c r="B164" s="10">
        <v>0.98898148148148146</v>
      </c>
      <c r="C164" t="s">
        <v>274</v>
      </c>
      <c r="D164" t="s">
        <v>275</v>
      </c>
      <c r="E164" t="s">
        <v>276</v>
      </c>
      <c r="F164" t="s">
        <v>277</v>
      </c>
      <c r="G164" s="6">
        <v>40</v>
      </c>
      <c r="H164" s="6">
        <f t="shared" si="2"/>
        <v>0</v>
      </c>
      <c r="I164">
        <v>40</v>
      </c>
      <c r="J164" t="s">
        <v>23</v>
      </c>
      <c r="K164" t="s">
        <v>35</v>
      </c>
    </row>
    <row r="165" spans="1:11" x14ac:dyDescent="0.25">
      <c r="A165" s="8">
        <v>46079</v>
      </c>
      <c r="B165" s="10">
        <v>0.96570601851851856</v>
      </c>
      <c r="C165" t="s">
        <v>296</v>
      </c>
      <c r="D165" t="s">
        <v>275</v>
      </c>
      <c r="E165" t="s">
        <v>297</v>
      </c>
      <c r="F165" t="s">
        <v>298</v>
      </c>
      <c r="G165" s="6">
        <v>40</v>
      </c>
      <c r="H165" s="6">
        <f t="shared" si="2"/>
        <v>0</v>
      </c>
      <c r="I165">
        <v>40</v>
      </c>
      <c r="J165" t="s">
        <v>24</v>
      </c>
      <c r="K165" t="s">
        <v>35</v>
      </c>
    </row>
    <row r="166" spans="1:11" x14ac:dyDescent="0.25">
      <c r="A166" s="8">
        <v>46079</v>
      </c>
      <c r="B166" s="10">
        <v>0.78430555555555559</v>
      </c>
      <c r="C166" t="s">
        <v>413</v>
      </c>
      <c r="D166" t="s">
        <v>275</v>
      </c>
      <c r="E166" t="s">
        <v>414</v>
      </c>
      <c r="F166" t="s">
        <v>415</v>
      </c>
      <c r="G166" s="6">
        <v>40</v>
      </c>
      <c r="H166" s="6">
        <f t="shared" si="2"/>
        <v>0</v>
      </c>
      <c r="I166">
        <v>40</v>
      </c>
      <c r="J166" t="s">
        <v>24</v>
      </c>
      <c r="K166" t="s">
        <v>35</v>
      </c>
    </row>
    <row r="167" spans="1:11" x14ac:dyDescent="0.25">
      <c r="A167" s="8">
        <v>46079</v>
      </c>
      <c r="B167" s="10">
        <v>0.78255787037037039</v>
      </c>
      <c r="C167" t="s">
        <v>419</v>
      </c>
      <c r="D167" t="s">
        <v>275</v>
      </c>
      <c r="E167" t="s">
        <v>420</v>
      </c>
      <c r="F167" t="s">
        <v>421</v>
      </c>
      <c r="G167" s="6">
        <v>40</v>
      </c>
      <c r="H167" s="6">
        <f t="shared" si="2"/>
        <v>0</v>
      </c>
      <c r="I167">
        <v>40</v>
      </c>
      <c r="J167" t="s">
        <v>26</v>
      </c>
      <c r="K167" t="s">
        <v>35</v>
      </c>
    </row>
    <row r="168" spans="1:11" x14ac:dyDescent="0.25">
      <c r="A168" s="8">
        <v>46079</v>
      </c>
      <c r="B168" s="10">
        <v>0.75328703703703703</v>
      </c>
      <c r="C168" t="s">
        <v>446</v>
      </c>
      <c r="D168" t="s">
        <v>275</v>
      </c>
      <c r="E168" t="s">
        <v>447</v>
      </c>
      <c r="F168" t="s">
        <v>448</v>
      </c>
      <c r="G168" s="6">
        <v>40</v>
      </c>
      <c r="H168" s="6">
        <f t="shared" si="2"/>
        <v>0</v>
      </c>
      <c r="I168">
        <v>40</v>
      </c>
      <c r="J168" t="s">
        <v>27</v>
      </c>
      <c r="K168" t="s">
        <v>35</v>
      </c>
    </row>
    <row r="169" spans="1:11" x14ac:dyDescent="0.25">
      <c r="A169" s="8">
        <v>46079</v>
      </c>
      <c r="B169" s="10">
        <v>0.75109953703703702</v>
      </c>
      <c r="C169" t="s">
        <v>449</v>
      </c>
      <c r="D169" t="s">
        <v>275</v>
      </c>
      <c r="E169" t="s">
        <v>450</v>
      </c>
      <c r="F169" t="s">
        <v>451</v>
      </c>
      <c r="G169" s="6">
        <v>40</v>
      </c>
      <c r="H169" s="6">
        <f t="shared" si="2"/>
        <v>0</v>
      </c>
      <c r="I169">
        <v>40</v>
      </c>
      <c r="J169" t="s">
        <v>27</v>
      </c>
      <c r="K169" t="s">
        <v>35</v>
      </c>
    </row>
    <row r="170" spans="1:11" x14ac:dyDescent="0.25">
      <c r="A170" s="8">
        <v>46079</v>
      </c>
      <c r="B170" s="10">
        <v>0.74444444444444446</v>
      </c>
      <c r="C170" t="s">
        <v>458</v>
      </c>
      <c r="D170" t="s">
        <v>275</v>
      </c>
      <c r="E170" t="s">
        <v>459</v>
      </c>
      <c r="F170" t="s">
        <v>460</v>
      </c>
      <c r="G170" s="6">
        <v>40</v>
      </c>
      <c r="H170" s="6">
        <f t="shared" si="2"/>
        <v>0</v>
      </c>
      <c r="I170">
        <v>40</v>
      </c>
      <c r="J170" t="s">
        <v>29</v>
      </c>
      <c r="K170" t="s">
        <v>35</v>
      </c>
    </row>
    <row r="171" spans="1:11" x14ac:dyDescent="0.25">
      <c r="A171" s="8">
        <v>46079</v>
      </c>
      <c r="B171" s="10">
        <v>0.66741898148148149</v>
      </c>
      <c r="C171" t="s">
        <v>557</v>
      </c>
      <c r="D171" t="s">
        <v>275</v>
      </c>
      <c r="E171" t="s">
        <v>558</v>
      </c>
      <c r="F171" t="s">
        <v>559</v>
      </c>
      <c r="G171" s="6">
        <v>40</v>
      </c>
      <c r="H171" s="6">
        <f t="shared" si="2"/>
        <v>0</v>
      </c>
      <c r="I171">
        <v>40</v>
      </c>
      <c r="J171" t="s">
        <v>30</v>
      </c>
      <c r="K171" t="s">
        <v>35</v>
      </c>
    </row>
    <row r="172" spans="1:11" x14ac:dyDescent="0.25">
      <c r="A172" s="8">
        <v>46079</v>
      </c>
      <c r="B172" s="10">
        <v>0.66321759259259261</v>
      </c>
      <c r="C172" t="s">
        <v>566</v>
      </c>
      <c r="D172" t="s">
        <v>275</v>
      </c>
      <c r="E172" t="s">
        <v>567</v>
      </c>
      <c r="F172" t="s">
        <v>568</v>
      </c>
      <c r="G172" s="6">
        <v>40</v>
      </c>
      <c r="H172" s="6">
        <f t="shared" si="2"/>
        <v>0</v>
      </c>
      <c r="I172">
        <v>40</v>
      </c>
      <c r="J172" t="s">
        <v>30</v>
      </c>
      <c r="K172" t="s">
        <v>35</v>
      </c>
    </row>
    <row r="173" spans="1:11" x14ac:dyDescent="0.25">
      <c r="A173" s="8">
        <v>46079</v>
      </c>
      <c r="B173" s="10">
        <v>0.6578356481481481</v>
      </c>
      <c r="C173" t="s">
        <v>581</v>
      </c>
      <c r="D173" t="s">
        <v>275</v>
      </c>
      <c r="E173" t="s">
        <v>582</v>
      </c>
      <c r="F173" t="s">
        <v>583</v>
      </c>
      <c r="G173" s="6">
        <v>40</v>
      </c>
      <c r="H173" s="6">
        <f t="shared" si="2"/>
        <v>0</v>
      </c>
      <c r="I173">
        <v>40</v>
      </c>
      <c r="J173" t="s">
        <v>32</v>
      </c>
      <c r="K173" t="s">
        <v>35</v>
      </c>
    </row>
    <row r="174" spans="1:11" x14ac:dyDescent="0.25">
      <c r="A174" s="8">
        <v>46079</v>
      </c>
      <c r="B174" s="10">
        <v>0.55874999999999997</v>
      </c>
      <c r="C174" t="s">
        <v>686</v>
      </c>
      <c r="D174" t="s">
        <v>275</v>
      </c>
      <c r="E174" t="s">
        <v>687</v>
      </c>
      <c r="F174" t="s">
        <v>688</v>
      </c>
      <c r="G174" s="6">
        <v>40</v>
      </c>
      <c r="H174" s="6">
        <f t="shared" si="2"/>
        <v>0</v>
      </c>
      <c r="I174">
        <v>40</v>
      </c>
      <c r="J174" t="s">
        <v>32</v>
      </c>
      <c r="K174" t="s">
        <v>35</v>
      </c>
    </row>
    <row r="175" spans="1:11" x14ac:dyDescent="0.25">
      <c r="A175" s="8">
        <v>46079</v>
      </c>
      <c r="B175" s="10">
        <v>0.4403009259259259</v>
      </c>
      <c r="C175" t="s">
        <v>824</v>
      </c>
      <c r="D175" t="s">
        <v>275</v>
      </c>
      <c r="E175" t="s">
        <v>825</v>
      </c>
      <c r="F175" t="s">
        <v>826</v>
      </c>
      <c r="G175" s="6">
        <v>40</v>
      </c>
      <c r="H175" s="6">
        <f t="shared" si="2"/>
        <v>0</v>
      </c>
      <c r="I175">
        <v>40</v>
      </c>
      <c r="J175" t="s">
        <v>32</v>
      </c>
      <c r="K175" t="s">
        <v>35</v>
      </c>
    </row>
    <row r="176" spans="1:11" x14ac:dyDescent="0.25">
      <c r="A176" s="8">
        <v>46079</v>
      </c>
      <c r="B176" s="10">
        <v>0.30648148148148147</v>
      </c>
      <c r="C176" t="s">
        <v>1004</v>
      </c>
      <c r="D176" t="s">
        <v>275</v>
      </c>
      <c r="E176" t="s">
        <v>1005</v>
      </c>
      <c r="F176" t="s">
        <v>1006</v>
      </c>
      <c r="G176" s="6">
        <v>40</v>
      </c>
      <c r="H176" s="6">
        <f t="shared" si="2"/>
        <v>0</v>
      </c>
      <c r="I176">
        <v>40</v>
      </c>
      <c r="J176" t="s">
        <v>32</v>
      </c>
      <c r="K176" t="s">
        <v>35</v>
      </c>
    </row>
    <row r="177" spans="1:11" x14ac:dyDescent="0.25">
      <c r="A177" s="8">
        <v>46079</v>
      </c>
      <c r="B177" s="10">
        <v>0.28842592592592592</v>
      </c>
      <c r="C177" t="s">
        <v>1016</v>
      </c>
      <c r="D177" t="s">
        <v>275</v>
      </c>
      <c r="E177" t="s">
        <v>1017</v>
      </c>
      <c r="F177" t="s">
        <v>1018</v>
      </c>
      <c r="G177" s="6">
        <v>40</v>
      </c>
      <c r="H177" s="6">
        <f t="shared" si="2"/>
        <v>0</v>
      </c>
      <c r="I177">
        <v>40</v>
      </c>
      <c r="J177" t="s">
        <v>32</v>
      </c>
      <c r="K177" t="s">
        <v>35</v>
      </c>
    </row>
    <row r="178" spans="1:11" x14ac:dyDescent="0.25">
      <c r="A178" s="8">
        <v>46079</v>
      </c>
      <c r="B178" s="10">
        <v>0.2575925925925926</v>
      </c>
      <c r="C178" t="s">
        <v>1067</v>
      </c>
      <c r="D178" t="s">
        <v>275</v>
      </c>
      <c r="E178" t="s">
        <v>1068</v>
      </c>
      <c r="F178" t="s">
        <v>1069</v>
      </c>
      <c r="G178" s="6">
        <v>40</v>
      </c>
      <c r="H178" s="6">
        <f t="shared" si="2"/>
        <v>40</v>
      </c>
    </row>
    <row r="179" spans="1:11" x14ac:dyDescent="0.25">
      <c r="A179" s="8">
        <v>46079</v>
      </c>
      <c r="B179" s="10">
        <v>0.50540509259259259</v>
      </c>
      <c r="C179" t="s">
        <v>740</v>
      </c>
      <c r="D179" t="s">
        <v>275</v>
      </c>
      <c r="E179" t="s">
        <v>741</v>
      </c>
      <c r="F179" t="s">
        <v>742</v>
      </c>
      <c r="G179" s="6">
        <v>41.01</v>
      </c>
      <c r="H179" s="6">
        <f t="shared" si="2"/>
        <v>0</v>
      </c>
      <c r="I179">
        <v>41.01</v>
      </c>
      <c r="J179" t="s">
        <v>26</v>
      </c>
      <c r="K179" t="s">
        <v>35</v>
      </c>
    </row>
    <row r="180" spans="1:11" x14ac:dyDescent="0.25">
      <c r="A180" s="8">
        <v>46079</v>
      </c>
      <c r="B180" s="10">
        <v>0.44355324074074076</v>
      </c>
      <c r="C180" t="s">
        <v>818</v>
      </c>
      <c r="D180" t="s">
        <v>275</v>
      </c>
      <c r="E180" t="s">
        <v>819</v>
      </c>
      <c r="F180" t="s">
        <v>820</v>
      </c>
      <c r="G180" s="6">
        <v>41.06</v>
      </c>
      <c r="H180" s="6">
        <f t="shared" si="2"/>
        <v>0</v>
      </c>
      <c r="I180">
        <v>41.06</v>
      </c>
      <c r="J180" t="s">
        <v>25</v>
      </c>
      <c r="K180" t="s">
        <v>35</v>
      </c>
    </row>
    <row r="181" spans="1:11" x14ac:dyDescent="0.25">
      <c r="A181" s="8">
        <v>46079</v>
      </c>
      <c r="B181" s="10">
        <v>0.53374999999999995</v>
      </c>
      <c r="C181" t="s">
        <v>707</v>
      </c>
      <c r="D181" t="s">
        <v>275</v>
      </c>
      <c r="E181" t="s">
        <v>708</v>
      </c>
      <c r="F181" t="s">
        <v>709</v>
      </c>
      <c r="G181" s="6">
        <v>41.26</v>
      </c>
      <c r="H181" s="6">
        <f t="shared" si="2"/>
        <v>0</v>
      </c>
      <c r="I181">
        <v>41.26</v>
      </c>
      <c r="J181" t="s">
        <v>24</v>
      </c>
      <c r="K181" t="s">
        <v>35</v>
      </c>
    </row>
    <row r="182" spans="1:11" x14ac:dyDescent="0.25">
      <c r="A182" s="8">
        <v>46079</v>
      </c>
      <c r="B182" s="10">
        <v>0.96052083333333338</v>
      </c>
      <c r="C182" t="s">
        <v>305</v>
      </c>
      <c r="D182" t="s">
        <v>275</v>
      </c>
      <c r="E182" t="s">
        <v>306</v>
      </c>
      <c r="F182" t="s">
        <v>307</v>
      </c>
      <c r="G182" s="6">
        <v>41.96</v>
      </c>
      <c r="H182" s="6">
        <f t="shared" si="2"/>
        <v>0</v>
      </c>
      <c r="I182">
        <v>41.96</v>
      </c>
      <c r="J182" t="s">
        <v>22</v>
      </c>
      <c r="K182" t="s">
        <v>35</v>
      </c>
    </row>
    <row r="183" spans="1:11" x14ac:dyDescent="0.25">
      <c r="A183" s="8">
        <v>46079</v>
      </c>
      <c r="B183" s="10">
        <v>0.20200231481481482</v>
      </c>
      <c r="C183" t="s">
        <v>1115</v>
      </c>
      <c r="D183" t="s">
        <v>275</v>
      </c>
      <c r="E183" t="s">
        <v>1116</v>
      </c>
      <c r="F183" t="s">
        <v>1117</v>
      </c>
      <c r="G183" s="6">
        <v>41.96</v>
      </c>
      <c r="H183" s="6">
        <f t="shared" si="2"/>
        <v>0</v>
      </c>
      <c r="I183">
        <v>41.96</v>
      </c>
      <c r="J183" t="s">
        <v>30</v>
      </c>
      <c r="K183" t="s">
        <v>35</v>
      </c>
    </row>
    <row r="184" spans="1:11" x14ac:dyDescent="0.25">
      <c r="A184" s="8">
        <v>46079</v>
      </c>
      <c r="B184" s="10">
        <v>0.44296296296296295</v>
      </c>
      <c r="C184" t="s">
        <v>821</v>
      </c>
      <c r="D184" t="s">
        <v>275</v>
      </c>
      <c r="E184" t="s">
        <v>822</v>
      </c>
      <c r="F184" t="s">
        <v>823</v>
      </c>
      <c r="G184" s="6">
        <v>42.52</v>
      </c>
      <c r="H184" s="6">
        <f t="shared" si="2"/>
        <v>0</v>
      </c>
      <c r="I184">
        <v>42.52</v>
      </c>
      <c r="J184" t="s">
        <v>25</v>
      </c>
      <c r="K184" t="s">
        <v>35</v>
      </c>
    </row>
    <row r="185" spans="1:11" x14ac:dyDescent="0.25">
      <c r="A185" s="8">
        <v>46079</v>
      </c>
      <c r="B185" s="10">
        <v>0.47809027777777779</v>
      </c>
      <c r="C185" t="s">
        <v>767</v>
      </c>
      <c r="D185" t="s">
        <v>275</v>
      </c>
      <c r="E185" t="s">
        <v>768</v>
      </c>
      <c r="F185" t="s">
        <v>769</v>
      </c>
      <c r="G185" s="6">
        <v>43.26</v>
      </c>
      <c r="H185" s="6">
        <f t="shared" si="2"/>
        <v>0</v>
      </c>
      <c r="I185">
        <v>43.26</v>
      </c>
      <c r="J185" t="s">
        <v>27</v>
      </c>
      <c r="K185" t="s">
        <v>35</v>
      </c>
    </row>
    <row r="186" spans="1:11" x14ac:dyDescent="0.25">
      <c r="A186" s="8">
        <v>46079</v>
      </c>
      <c r="B186" s="10">
        <v>0.78409722222222222</v>
      </c>
      <c r="C186" t="s">
        <v>416</v>
      </c>
      <c r="D186" t="s">
        <v>275</v>
      </c>
      <c r="E186" t="s">
        <v>417</v>
      </c>
      <c r="F186" t="s">
        <v>418</v>
      </c>
      <c r="G186" s="6">
        <v>43.91</v>
      </c>
      <c r="H186" s="6">
        <f t="shared" si="2"/>
        <v>43.91</v>
      </c>
    </row>
    <row r="187" spans="1:11" x14ac:dyDescent="0.25">
      <c r="A187" s="8">
        <v>46079</v>
      </c>
      <c r="B187" s="10">
        <v>0.20689814814814814</v>
      </c>
      <c r="C187" t="s">
        <v>1112</v>
      </c>
      <c r="D187" t="s">
        <v>275</v>
      </c>
      <c r="E187" t="s">
        <v>1113</v>
      </c>
      <c r="F187" t="s">
        <v>1114</v>
      </c>
      <c r="G187" s="6">
        <v>44.29</v>
      </c>
      <c r="H187" s="6">
        <f t="shared" si="2"/>
        <v>0</v>
      </c>
      <c r="I187">
        <v>44.29</v>
      </c>
      <c r="J187" t="s">
        <v>31</v>
      </c>
      <c r="K187" t="s">
        <v>35</v>
      </c>
    </row>
    <row r="188" spans="1:11" x14ac:dyDescent="0.25">
      <c r="A188" s="8">
        <v>46079</v>
      </c>
      <c r="B188" s="10">
        <v>0.41368055555555555</v>
      </c>
      <c r="C188" t="s">
        <v>857</v>
      </c>
      <c r="D188" t="s">
        <v>275</v>
      </c>
      <c r="E188" t="s">
        <v>858</v>
      </c>
      <c r="F188" t="s">
        <v>859</v>
      </c>
      <c r="G188" s="6">
        <v>44.56</v>
      </c>
      <c r="H188" s="6">
        <f t="shared" si="2"/>
        <v>0</v>
      </c>
      <c r="I188">
        <v>44.56</v>
      </c>
      <c r="J188" t="s">
        <v>23</v>
      </c>
      <c r="K188" t="s">
        <v>35</v>
      </c>
    </row>
    <row r="189" spans="1:11" x14ac:dyDescent="0.25">
      <c r="A189" s="8">
        <v>46079</v>
      </c>
      <c r="B189" s="10">
        <v>0.35391203703703705</v>
      </c>
      <c r="C189" t="s">
        <v>968</v>
      </c>
      <c r="D189" t="s">
        <v>275</v>
      </c>
      <c r="E189" t="s">
        <v>969</v>
      </c>
      <c r="F189" t="s">
        <v>970</v>
      </c>
      <c r="G189" s="6">
        <v>44.66</v>
      </c>
      <c r="H189" s="6">
        <f t="shared" si="2"/>
        <v>0</v>
      </c>
      <c r="I189">
        <v>44.66</v>
      </c>
      <c r="J189" t="s">
        <v>27</v>
      </c>
      <c r="K189" t="s">
        <v>35</v>
      </c>
    </row>
    <row r="190" spans="1:11" x14ac:dyDescent="0.25">
      <c r="A190" s="8">
        <v>46079</v>
      </c>
      <c r="B190" s="10">
        <v>0.68601851851851847</v>
      </c>
      <c r="C190" s="11" t="s">
        <v>536</v>
      </c>
      <c r="D190" t="s">
        <v>275</v>
      </c>
      <c r="E190" t="s">
        <v>537</v>
      </c>
      <c r="F190" t="s">
        <v>538</v>
      </c>
      <c r="G190" s="6">
        <v>45</v>
      </c>
      <c r="H190" s="6">
        <f t="shared" si="2"/>
        <v>0</v>
      </c>
      <c r="I190">
        <v>45</v>
      </c>
      <c r="J190" t="s">
        <v>23</v>
      </c>
      <c r="K190" t="s">
        <v>35</v>
      </c>
    </row>
    <row r="191" spans="1:11" x14ac:dyDescent="0.25">
      <c r="A191" s="8">
        <v>46079</v>
      </c>
      <c r="B191" s="10">
        <v>0.6698263888888889</v>
      </c>
      <c r="C191" t="s">
        <v>548</v>
      </c>
      <c r="D191" t="s">
        <v>275</v>
      </c>
      <c r="E191" t="s">
        <v>549</v>
      </c>
      <c r="F191" t="s">
        <v>550</v>
      </c>
      <c r="G191" s="6">
        <v>46</v>
      </c>
      <c r="H191" s="6">
        <f t="shared" si="2"/>
        <v>0</v>
      </c>
      <c r="I191">
        <v>46</v>
      </c>
      <c r="J191" t="s">
        <v>24</v>
      </c>
      <c r="K191" t="s">
        <v>35</v>
      </c>
    </row>
    <row r="192" spans="1:11" x14ac:dyDescent="0.25">
      <c r="A192" s="8">
        <v>46079</v>
      </c>
      <c r="B192" s="10">
        <v>0.26502314814814815</v>
      </c>
      <c r="C192" t="s">
        <v>1058</v>
      </c>
      <c r="D192" t="s">
        <v>275</v>
      </c>
      <c r="E192" t="s">
        <v>1059</v>
      </c>
      <c r="F192" t="s">
        <v>1060</v>
      </c>
      <c r="G192" s="6">
        <v>47.8</v>
      </c>
      <c r="H192" s="6">
        <f t="shared" si="2"/>
        <v>0</v>
      </c>
      <c r="I192">
        <v>47.8</v>
      </c>
      <c r="J192" t="s">
        <v>27</v>
      </c>
      <c r="K192" t="s">
        <v>35</v>
      </c>
    </row>
    <row r="193" spans="1:11" x14ac:dyDescent="0.25">
      <c r="A193" s="8">
        <v>46079</v>
      </c>
      <c r="B193" s="10">
        <v>0.46483796296296298</v>
      </c>
      <c r="C193" t="s">
        <v>782</v>
      </c>
      <c r="D193" t="s">
        <v>275</v>
      </c>
      <c r="E193" t="s">
        <v>783</v>
      </c>
      <c r="F193" t="s">
        <v>784</v>
      </c>
      <c r="G193" s="6">
        <v>47.9</v>
      </c>
      <c r="H193" s="6">
        <f t="shared" si="2"/>
        <v>0</v>
      </c>
      <c r="I193">
        <v>47.9</v>
      </c>
      <c r="J193" t="s">
        <v>23</v>
      </c>
      <c r="K193" t="s">
        <v>35</v>
      </c>
    </row>
    <row r="194" spans="1:11" x14ac:dyDescent="0.25">
      <c r="A194" s="8">
        <v>46079</v>
      </c>
      <c r="B194" s="10">
        <v>0.22217592592592592</v>
      </c>
      <c r="C194" t="s">
        <v>1103</v>
      </c>
      <c r="D194" t="s">
        <v>275</v>
      </c>
      <c r="E194" t="s">
        <v>1104</v>
      </c>
      <c r="F194" t="s">
        <v>1105</v>
      </c>
      <c r="G194" s="6">
        <v>47.92</v>
      </c>
      <c r="H194" s="6">
        <f t="shared" si="2"/>
        <v>0</v>
      </c>
      <c r="I194">
        <v>47.92</v>
      </c>
      <c r="J194" t="s">
        <v>22</v>
      </c>
      <c r="K194" t="s">
        <v>35</v>
      </c>
    </row>
    <row r="195" spans="1:11" x14ac:dyDescent="0.25">
      <c r="A195" s="8">
        <v>46079</v>
      </c>
      <c r="B195" s="10">
        <v>0.9193634259259259</v>
      </c>
      <c r="C195" t="s">
        <v>338</v>
      </c>
      <c r="D195" t="s">
        <v>275</v>
      </c>
      <c r="E195" t="s">
        <v>339</v>
      </c>
      <c r="F195" t="s">
        <v>340</v>
      </c>
      <c r="G195" s="6">
        <v>48.81</v>
      </c>
      <c r="H195" s="6">
        <f t="shared" ref="H195:H258" si="3">G195-I195</f>
        <v>0</v>
      </c>
      <c r="I195">
        <v>48.81</v>
      </c>
      <c r="J195" t="s">
        <v>28</v>
      </c>
      <c r="K195" t="s">
        <v>35</v>
      </c>
    </row>
    <row r="196" spans="1:11" x14ac:dyDescent="0.25">
      <c r="A196" s="8">
        <v>46079</v>
      </c>
      <c r="B196" s="10">
        <v>0.70614583333333336</v>
      </c>
      <c r="C196" t="s">
        <v>497</v>
      </c>
      <c r="D196" t="s">
        <v>275</v>
      </c>
      <c r="E196" t="s">
        <v>498</v>
      </c>
      <c r="F196" t="s">
        <v>499</v>
      </c>
      <c r="G196" s="6">
        <v>49.05</v>
      </c>
      <c r="H196" s="6">
        <f t="shared" si="3"/>
        <v>0</v>
      </c>
      <c r="I196">
        <v>49.05</v>
      </c>
      <c r="J196" t="s">
        <v>27</v>
      </c>
      <c r="K196" t="s">
        <v>35</v>
      </c>
    </row>
    <row r="197" spans="1:11" x14ac:dyDescent="0.25">
      <c r="A197" s="8">
        <v>46079</v>
      </c>
      <c r="B197" s="10">
        <v>0.41943287037037036</v>
      </c>
      <c r="C197" t="s">
        <v>848</v>
      </c>
      <c r="D197" t="s">
        <v>275</v>
      </c>
      <c r="E197" t="s">
        <v>849</v>
      </c>
      <c r="F197" t="s">
        <v>850</v>
      </c>
      <c r="G197" s="6">
        <v>49.3</v>
      </c>
      <c r="H197" s="6">
        <f t="shared" si="3"/>
        <v>0</v>
      </c>
      <c r="I197">
        <v>49.3</v>
      </c>
      <c r="J197" t="s">
        <v>23</v>
      </c>
      <c r="K197" t="s">
        <v>35</v>
      </c>
    </row>
    <row r="198" spans="1:11" x14ac:dyDescent="0.25">
      <c r="A198" s="8">
        <v>46079</v>
      </c>
      <c r="B198" s="10">
        <v>0.45766203703703706</v>
      </c>
      <c r="C198" t="s">
        <v>797</v>
      </c>
      <c r="D198" t="s">
        <v>275</v>
      </c>
      <c r="E198" t="s">
        <v>798</v>
      </c>
      <c r="F198" t="s">
        <v>799</v>
      </c>
      <c r="G198" s="6">
        <v>49.65</v>
      </c>
      <c r="H198" s="6">
        <f t="shared" si="3"/>
        <v>0</v>
      </c>
      <c r="I198">
        <v>49.65</v>
      </c>
      <c r="J198" t="s">
        <v>23</v>
      </c>
      <c r="K198" t="s">
        <v>35</v>
      </c>
    </row>
    <row r="199" spans="1:11" x14ac:dyDescent="0.25">
      <c r="A199" s="8">
        <v>46079</v>
      </c>
      <c r="B199" s="10">
        <v>0.26399305555555558</v>
      </c>
      <c r="C199" t="s">
        <v>1061</v>
      </c>
      <c r="D199" t="s">
        <v>275</v>
      </c>
      <c r="E199" t="s">
        <v>1062</v>
      </c>
      <c r="F199" t="s">
        <v>1063</v>
      </c>
      <c r="G199" s="6">
        <v>49.65</v>
      </c>
      <c r="H199" s="6">
        <f t="shared" si="3"/>
        <v>0</v>
      </c>
      <c r="I199">
        <v>49.65</v>
      </c>
      <c r="J199" t="s">
        <v>23</v>
      </c>
      <c r="K199" t="s">
        <v>35</v>
      </c>
    </row>
    <row r="200" spans="1:11" x14ac:dyDescent="0.25">
      <c r="A200" s="8">
        <v>46079</v>
      </c>
      <c r="B200" s="10">
        <v>0.97938657407407403</v>
      </c>
      <c r="C200" t="s">
        <v>281</v>
      </c>
      <c r="D200" t="s">
        <v>275</v>
      </c>
      <c r="E200" t="s">
        <v>282</v>
      </c>
      <c r="F200" t="s">
        <v>283</v>
      </c>
      <c r="G200" s="6">
        <v>50</v>
      </c>
      <c r="H200" s="6">
        <f t="shared" si="3"/>
        <v>0</v>
      </c>
      <c r="I200">
        <v>50</v>
      </c>
      <c r="J200" t="s">
        <v>23</v>
      </c>
      <c r="K200" t="s">
        <v>35</v>
      </c>
    </row>
    <row r="201" spans="1:11" x14ac:dyDescent="0.25">
      <c r="A201" s="8">
        <v>46079</v>
      </c>
      <c r="B201" s="10">
        <v>0.75662037037037033</v>
      </c>
      <c r="C201" t="s">
        <v>437</v>
      </c>
      <c r="D201" t="s">
        <v>275</v>
      </c>
      <c r="E201" t="s">
        <v>438</v>
      </c>
      <c r="F201" t="s">
        <v>439</v>
      </c>
      <c r="G201" s="6">
        <v>50</v>
      </c>
      <c r="H201" s="6">
        <f t="shared" si="3"/>
        <v>0</v>
      </c>
      <c r="I201">
        <v>50</v>
      </c>
      <c r="J201" t="s">
        <v>23</v>
      </c>
      <c r="K201" t="s">
        <v>35</v>
      </c>
    </row>
    <row r="202" spans="1:11" x14ac:dyDescent="0.25">
      <c r="A202" s="8">
        <v>46079</v>
      </c>
      <c r="B202" s="10">
        <v>0.75527777777777783</v>
      </c>
      <c r="C202" t="s">
        <v>440</v>
      </c>
      <c r="D202" t="s">
        <v>275</v>
      </c>
      <c r="E202" t="s">
        <v>441</v>
      </c>
      <c r="F202" t="s">
        <v>442</v>
      </c>
      <c r="G202" s="6">
        <v>50</v>
      </c>
      <c r="H202" s="6">
        <f t="shared" si="3"/>
        <v>0</v>
      </c>
      <c r="I202">
        <v>50</v>
      </c>
      <c r="J202" t="s">
        <v>23</v>
      </c>
      <c r="K202" t="s">
        <v>35</v>
      </c>
    </row>
    <row r="203" spans="1:11" x14ac:dyDescent="0.25">
      <c r="A203" s="8">
        <v>46079</v>
      </c>
      <c r="B203" s="10">
        <v>0.73261574074074076</v>
      </c>
      <c r="C203" t="s">
        <v>485</v>
      </c>
      <c r="D203" t="s">
        <v>275</v>
      </c>
      <c r="E203" t="s">
        <v>486</v>
      </c>
      <c r="F203" t="s">
        <v>487</v>
      </c>
      <c r="G203" s="6">
        <v>50</v>
      </c>
      <c r="H203" s="6">
        <f t="shared" si="3"/>
        <v>0</v>
      </c>
      <c r="I203">
        <v>50</v>
      </c>
      <c r="J203" t="s">
        <v>23</v>
      </c>
      <c r="K203" t="s">
        <v>35</v>
      </c>
    </row>
    <row r="204" spans="1:11" x14ac:dyDescent="0.25">
      <c r="A204" s="8">
        <v>46079</v>
      </c>
      <c r="B204" s="10">
        <v>0.70721064814814816</v>
      </c>
      <c r="C204" t="s">
        <v>494</v>
      </c>
      <c r="D204" t="s">
        <v>275</v>
      </c>
      <c r="E204" t="s">
        <v>495</v>
      </c>
      <c r="F204" t="s">
        <v>496</v>
      </c>
      <c r="G204" s="6">
        <v>50</v>
      </c>
      <c r="H204" s="6">
        <f t="shared" si="3"/>
        <v>0</v>
      </c>
      <c r="I204">
        <v>50</v>
      </c>
      <c r="J204" t="s">
        <v>23</v>
      </c>
      <c r="K204" t="s">
        <v>35</v>
      </c>
    </row>
    <row r="205" spans="1:11" x14ac:dyDescent="0.25">
      <c r="A205" s="8">
        <v>46079</v>
      </c>
      <c r="B205" s="10">
        <v>0.66479166666666667</v>
      </c>
      <c r="C205" t="s">
        <v>563</v>
      </c>
      <c r="D205" t="s">
        <v>275</v>
      </c>
      <c r="E205" t="s">
        <v>564</v>
      </c>
      <c r="F205" t="s">
        <v>565</v>
      </c>
      <c r="G205" s="6">
        <v>50</v>
      </c>
      <c r="H205" s="6">
        <f t="shared" si="3"/>
        <v>0</v>
      </c>
      <c r="I205">
        <v>50</v>
      </c>
      <c r="J205" t="s">
        <v>24</v>
      </c>
      <c r="K205" t="s">
        <v>35</v>
      </c>
    </row>
    <row r="206" spans="1:11" x14ac:dyDescent="0.25">
      <c r="A206" s="8">
        <v>46079</v>
      </c>
      <c r="B206" s="10">
        <v>0.6347800925925926</v>
      </c>
      <c r="C206" t="s">
        <v>608</v>
      </c>
      <c r="D206" t="s">
        <v>275</v>
      </c>
      <c r="E206" t="s">
        <v>609</v>
      </c>
      <c r="F206" t="s">
        <v>610</v>
      </c>
      <c r="G206" s="6">
        <v>50</v>
      </c>
      <c r="H206" s="6">
        <f t="shared" si="3"/>
        <v>0</v>
      </c>
      <c r="I206">
        <v>50</v>
      </c>
      <c r="J206" t="s">
        <v>24</v>
      </c>
      <c r="K206" t="s">
        <v>35</v>
      </c>
    </row>
    <row r="207" spans="1:11" x14ac:dyDescent="0.25">
      <c r="A207" s="8">
        <v>46079</v>
      </c>
      <c r="B207" s="10">
        <v>0.59826388888888893</v>
      </c>
      <c r="C207" t="s">
        <v>647</v>
      </c>
      <c r="D207" t="s">
        <v>275</v>
      </c>
      <c r="E207" t="s">
        <v>648</v>
      </c>
      <c r="F207" t="s">
        <v>649</v>
      </c>
      <c r="G207" s="6">
        <v>50</v>
      </c>
      <c r="H207" s="6">
        <f t="shared" si="3"/>
        <v>0</v>
      </c>
      <c r="I207">
        <v>50</v>
      </c>
      <c r="J207" t="s">
        <v>25</v>
      </c>
      <c r="K207" t="s">
        <v>35</v>
      </c>
    </row>
    <row r="208" spans="1:11" x14ac:dyDescent="0.25">
      <c r="A208" s="8">
        <v>46079</v>
      </c>
      <c r="B208" s="10">
        <v>0.59256944444444448</v>
      </c>
      <c r="C208" t="s">
        <v>653</v>
      </c>
      <c r="D208" t="s">
        <v>275</v>
      </c>
      <c r="E208" t="s">
        <v>654</v>
      </c>
      <c r="F208" t="s">
        <v>655</v>
      </c>
      <c r="G208" s="6">
        <v>50</v>
      </c>
      <c r="H208" s="6">
        <f t="shared" si="3"/>
        <v>0</v>
      </c>
      <c r="I208">
        <v>50</v>
      </c>
      <c r="J208" t="s">
        <v>25</v>
      </c>
      <c r="K208" t="s">
        <v>35</v>
      </c>
    </row>
    <row r="209" spans="1:11" x14ac:dyDescent="0.25">
      <c r="A209" s="8">
        <v>46079</v>
      </c>
      <c r="B209" s="10">
        <v>0.57942129629629635</v>
      </c>
      <c r="C209" t="s">
        <v>668</v>
      </c>
      <c r="D209" t="s">
        <v>275</v>
      </c>
      <c r="E209" t="s">
        <v>669</v>
      </c>
      <c r="F209" t="s">
        <v>670</v>
      </c>
      <c r="G209" s="6">
        <v>50</v>
      </c>
      <c r="H209" s="6">
        <f t="shared" si="3"/>
        <v>0</v>
      </c>
      <c r="I209">
        <v>50</v>
      </c>
      <c r="J209" t="s">
        <v>25</v>
      </c>
      <c r="K209" t="s">
        <v>35</v>
      </c>
    </row>
    <row r="210" spans="1:11" x14ac:dyDescent="0.25">
      <c r="A210" s="8">
        <v>46079</v>
      </c>
      <c r="B210" s="10">
        <v>0.56190972222222224</v>
      </c>
      <c r="C210" t="s">
        <v>677</v>
      </c>
      <c r="D210" t="s">
        <v>275</v>
      </c>
      <c r="E210" t="s">
        <v>678</v>
      </c>
      <c r="F210" t="s">
        <v>679</v>
      </c>
      <c r="G210" s="6">
        <v>50</v>
      </c>
      <c r="H210" s="6">
        <f t="shared" si="3"/>
        <v>0</v>
      </c>
      <c r="I210">
        <v>50</v>
      </c>
      <c r="J210" t="s">
        <v>25</v>
      </c>
      <c r="K210" t="s">
        <v>35</v>
      </c>
    </row>
    <row r="211" spans="1:11" x14ac:dyDescent="0.25">
      <c r="A211" s="8">
        <v>46079</v>
      </c>
      <c r="B211" s="10">
        <v>0.55269675925925921</v>
      </c>
      <c r="C211" t="s">
        <v>695</v>
      </c>
      <c r="D211" t="s">
        <v>275</v>
      </c>
      <c r="E211" t="s">
        <v>696</v>
      </c>
      <c r="F211" t="s">
        <v>697</v>
      </c>
      <c r="G211" s="6">
        <v>50</v>
      </c>
      <c r="H211" s="6">
        <f t="shared" si="3"/>
        <v>0</v>
      </c>
      <c r="I211">
        <v>50</v>
      </c>
      <c r="J211" t="s">
        <v>26</v>
      </c>
      <c r="K211" t="s">
        <v>35</v>
      </c>
    </row>
    <row r="212" spans="1:11" x14ac:dyDescent="0.25">
      <c r="A212" s="8">
        <v>46079</v>
      </c>
      <c r="B212" s="10">
        <v>0.51990740740740737</v>
      </c>
      <c r="C212" t="s">
        <v>725</v>
      </c>
      <c r="D212" t="s">
        <v>275</v>
      </c>
      <c r="E212" t="s">
        <v>726</v>
      </c>
      <c r="F212" t="s">
        <v>727</v>
      </c>
      <c r="G212" s="6">
        <v>50</v>
      </c>
      <c r="H212" s="6">
        <f t="shared" si="3"/>
        <v>0</v>
      </c>
      <c r="I212">
        <v>50</v>
      </c>
      <c r="J212" t="s">
        <v>26</v>
      </c>
      <c r="K212" t="s">
        <v>35</v>
      </c>
    </row>
    <row r="213" spans="1:11" x14ac:dyDescent="0.25">
      <c r="A213" s="8">
        <v>46079</v>
      </c>
      <c r="B213" s="10">
        <v>0.4790625</v>
      </c>
      <c r="C213" t="s">
        <v>764</v>
      </c>
      <c r="D213" t="s">
        <v>275</v>
      </c>
      <c r="E213" t="s">
        <v>765</v>
      </c>
      <c r="F213" t="s">
        <v>766</v>
      </c>
      <c r="G213" s="6">
        <v>50</v>
      </c>
      <c r="H213" s="6">
        <f t="shared" si="3"/>
        <v>0</v>
      </c>
      <c r="I213">
        <v>50</v>
      </c>
      <c r="J213" t="s">
        <v>26</v>
      </c>
      <c r="K213" t="s">
        <v>35</v>
      </c>
    </row>
    <row r="214" spans="1:11" x14ac:dyDescent="0.25">
      <c r="A214" s="8">
        <v>46079</v>
      </c>
      <c r="B214" s="10">
        <v>0.47699074074074072</v>
      </c>
      <c r="C214" t="s">
        <v>770</v>
      </c>
      <c r="D214" t="s">
        <v>275</v>
      </c>
      <c r="E214" t="s">
        <v>771</v>
      </c>
      <c r="F214" t="s">
        <v>772</v>
      </c>
      <c r="G214" s="6">
        <v>50</v>
      </c>
      <c r="H214" s="6">
        <f t="shared" si="3"/>
        <v>0</v>
      </c>
      <c r="I214">
        <v>50</v>
      </c>
      <c r="J214" t="s">
        <v>26</v>
      </c>
      <c r="K214" t="s">
        <v>35</v>
      </c>
    </row>
    <row r="215" spans="1:11" x14ac:dyDescent="0.25">
      <c r="A215" s="8">
        <v>46079</v>
      </c>
      <c r="B215" s="10">
        <v>0.47444444444444445</v>
      </c>
      <c r="C215" t="s">
        <v>776</v>
      </c>
      <c r="D215" t="s">
        <v>275</v>
      </c>
      <c r="E215" t="s">
        <v>777</v>
      </c>
      <c r="F215" t="s">
        <v>778</v>
      </c>
      <c r="G215" s="6">
        <v>50</v>
      </c>
      <c r="H215" s="6">
        <f t="shared" si="3"/>
        <v>0</v>
      </c>
      <c r="I215">
        <v>50</v>
      </c>
      <c r="J215" t="s">
        <v>27</v>
      </c>
      <c r="K215" t="s">
        <v>35</v>
      </c>
    </row>
    <row r="216" spans="1:11" x14ac:dyDescent="0.25">
      <c r="A216" s="8">
        <v>46079</v>
      </c>
      <c r="B216" s="10">
        <v>0.39238425925925924</v>
      </c>
      <c r="C216" t="s">
        <v>905</v>
      </c>
      <c r="D216" t="s">
        <v>275</v>
      </c>
      <c r="E216" t="s">
        <v>906</v>
      </c>
      <c r="F216" t="s">
        <v>907</v>
      </c>
      <c r="G216" s="6">
        <v>50</v>
      </c>
      <c r="H216" s="6">
        <f t="shared" si="3"/>
        <v>0</v>
      </c>
      <c r="I216">
        <v>50</v>
      </c>
      <c r="J216" t="s">
        <v>30</v>
      </c>
      <c r="K216" t="s">
        <v>35</v>
      </c>
    </row>
    <row r="217" spans="1:11" x14ac:dyDescent="0.25">
      <c r="A217" s="8">
        <v>46079</v>
      </c>
      <c r="B217" s="10">
        <v>0.36123842592592592</v>
      </c>
      <c r="C217" t="s">
        <v>953</v>
      </c>
      <c r="D217" t="s">
        <v>275</v>
      </c>
      <c r="E217" t="s">
        <v>954</v>
      </c>
      <c r="F217" t="s">
        <v>955</v>
      </c>
      <c r="G217" s="6">
        <v>50</v>
      </c>
      <c r="H217" s="6">
        <f t="shared" si="3"/>
        <v>0</v>
      </c>
      <c r="I217">
        <v>50</v>
      </c>
      <c r="J217" t="s">
        <v>30</v>
      </c>
      <c r="K217" t="s">
        <v>35</v>
      </c>
    </row>
    <row r="218" spans="1:11" x14ac:dyDescent="0.25">
      <c r="A218" s="8">
        <v>46079</v>
      </c>
      <c r="B218" s="10">
        <v>0.32309027777777777</v>
      </c>
      <c r="C218" t="s">
        <v>983</v>
      </c>
      <c r="D218" t="s">
        <v>275</v>
      </c>
      <c r="E218" t="s">
        <v>984</v>
      </c>
      <c r="F218" t="s">
        <v>985</v>
      </c>
      <c r="G218" s="6">
        <v>50</v>
      </c>
      <c r="H218" s="6">
        <f t="shared" si="3"/>
        <v>0</v>
      </c>
      <c r="I218">
        <v>50</v>
      </c>
      <c r="J218" t="s">
        <v>30</v>
      </c>
      <c r="K218" t="s">
        <v>35</v>
      </c>
    </row>
    <row r="219" spans="1:11" x14ac:dyDescent="0.25">
      <c r="A219" s="8">
        <v>46079</v>
      </c>
      <c r="B219" s="10">
        <v>0.28091435185185187</v>
      </c>
      <c r="C219" t="s">
        <v>1034</v>
      </c>
      <c r="D219" t="s">
        <v>275</v>
      </c>
      <c r="E219" t="s">
        <v>1035</v>
      </c>
      <c r="F219" t="s">
        <v>1036</v>
      </c>
      <c r="G219" s="6">
        <v>50</v>
      </c>
      <c r="H219" s="6">
        <f t="shared" si="3"/>
        <v>0</v>
      </c>
      <c r="I219">
        <v>50</v>
      </c>
      <c r="J219" t="s">
        <v>30</v>
      </c>
      <c r="K219" t="s">
        <v>35</v>
      </c>
    </row>
    <row r="220" spans="1:11" x14ac:dyDescent="0.25">
      <c r="A220" s="8">
        <v>46079</v>
      </c>
      <c r="B220" s="10">
        <v>0.26750000000000002</v>
      </c>
      <c r="C220" s="11" t="s">
        <v>1052</v>
      </c>
      <c r="D220" t="s">
        <v>275</v>
      </c>
      <c r="E220" t="s">
        <v>1053</v>
      </c>
      <c r="F220" t="s">
        <v>1054</v>
      </c>
      <c r="G220" s="6">
        <v>50</v>
      </c>
      <c r="H220" s="6">
        <f t="shared" si="3"/>
        <v>0</v>
      </c>
      <c r="I220">
        <v>50</v>
      </c>
      <c r="J220" t="s">
        <v>30</v>
      </c>
      <c r="K220" t="s">
        <v>35</v>
      </c>
    </row>
    <row r="221" spans="1:11" x14ac:dyDescent="0.25">
      <c r="A221" s="8">
        <v>46079</v>
      </c>
      <c r="B221" s="10">
        <v>0.88672453703703702</v>
      </c>
      <c r="C221" t="s">
        <v>365</v>
      </c>
      <c r="D221" t="s">
        <v>275</v>
      </c>
      <c r="E221" t="s">
        <v>366</v>
      </c>
      <c r="F221" t="s">
        <v>367</v>
      </c>
      <c r="G221" s="6">
        <v>50.49</v>
      </c>
      <c r="H221" s="6">
        <f t="shared" si="3"/>
        <v>0</v>
      </c>
      <c r="I221">
        <v>50.49</v>
      </c>
      <c r="J221" t="s">
        <v>29</v>
      </c>
      <c r="K221" t="s">
        <v>35</v>
      </c>
    </row>
    <row r="222" spans="1:11" x14ac:dyDescent="0.25">
      <c r="A222" s="8">
        <v>46079</v>
      </c>
      <c r="B222" s="10">
        <v>0.85140046296296301</v>
      </c>
      <c r="C222" t="s">
        <v>386</v>
      </c>
      <c r="D222" t="s">
        <v>275</v>
      </c>
      <c r="E222" t="s">
        <v>387</v>
      </c>
      <c r="F222" t="s">
        <v>388</v>
      </c>
      <c r="G222" s="6">
        <v>52.09</v>
      </c>
      <c r="H222" s="6">
        <f t="shared" si="3"/>
        <v>0</v>
      </c>
      <c r="I222">
        <v>52.09</v>
      </c>
      <c r="J222" t="s">
        <v>23</v>
      </c>
      <c r="K222" t="s">
        <v>35</v>
      </c>
    </row>
    <row r="223" spans="1:11" x14ac:dyDescent="0.25">
      <c r="A223" s="8">
        <v>46079</v>
      </c>
      <c r="B223" s="10">
        <v>0.39028935185185187</v>
      </c>
      <c r="C223" t="s">
        <v>911</v>
      </c>
      <c r="D223" t="s">
        <v>275</v>
      </c>
      <c r="E223" t="s">
        <v>912</v>
      </c>
      <c r="F223" t="s">
        <v>913</v>
      </c>
      <c r="G223" s="6">
        <v>52.09</v>
      </c>
      <c r="H223" s="6">
        <f t="shared" si="3"/>
        <v>0</v>
      </c>
      <c r="I223">
        <v>52.09</v>
      </c>
      <c r="J223" t="s">
        <v>29</v>
      </c>
      <c r="K223" t="s">
        <v>35</v>
      </c>
    </row>
    <row r="224" spans="1:11" x14ac:dyDescent="0.25">
      <c r="A224" s="8">
        <v>46079</v>
      </c>
      <c r="B224" s="10">
        <v>0.65427083333333336</v>
      </c>
      <c r="C224" t="s">
        <v>593</v>
      </c>
      <c r="D224" t="s">
        <v>275</v>
      </c>
      <c r="E224" t="s">
        <v>594</v>
      </c>
      <c r="F224" t="s">
        <v>595</v>
      </c>
      <c r="G224" s="6">
        <v>52.95</v>
      </c>
      <c r="H224" s="6">
        <f t="shared" si="3"/>
        <v>0</v>
      </c>
      <c r="I224">
        <v>52.95</v>
      </c>
      <c r="J224" t="s">
        <v>26</v>
      </c>
      <c r="K224" t="s">
        <v>35</v>
      </c>
    </row>
    <row r="225" spans="1:11" x14ac:dyDescent="0.25">
      <c r="A225" s="8">
        <v>46079</v>
      </c>
      <c r="B225" s="10">
        <v>6.3425925925925924E-3</v>
      </c>
      <c r="C225" t="s">
        <v>1163</v>
      </c>
      <c r="D225" t="s">
        <v>275</v>
      </c>
      <c r="E225" t="s">
        <v>1164</v>
      </c>
      <c r="F225" t="s">
        <v>1165</v>
      </c>
      <c r="G225" s="6">
        <v>53.02</v>
      </c>
      <c r="H225" s="6">
        <f t="shared" si="3"/>
        <v>0</v>
      </c>
      <c r="I225">
        <v>53.02</v>
      </c>
      <c r="J225" t="s">
        <v>31</v>
      </c>
      <c r="K225" t="s">
        <v>35</v>
      </c>
    </row>
    <row r="226" spans="1:11" x14ac:dyDescent="0.25">
      <c r="A226" s="8">
        <v>46079</v>
      </c>
      <c r="B226" s="10">
        <v>0.54874999999999996</v>
      </c>
      <c r="C226" t="s">
        <v>701</v>
      </c>
      <c r="D226" t="s">
        <v>275</v>
      </c>
      <c r="E226" t="s">
        <v>702</v>
      </c>
      <c r="F226" t="s">
        <v>703</v>
      </c>
      <c r="G226" s="6">
        <v>53.09</v>
      </c>
      <c r="H226" s="6">
        <f t="shared" si="3"/>
        <v>0</v>
      </c>
      <c r="I226">
        <v>53.09</v>
      </c>
      <c r="J226" t="s">
        <v>24</v>
      </c>
      <c r="K226" t="s">
        <v>35</v>
      </c>
    </row>
    <row r="227" spans="1:11" x14ac:dyDescent="0.25">
      <c r="A227" s="8">
        <v>46079</v>
      </c>
      <c r="B227" s="10">
        <v>0.75503472222222223</v>
      </c>
      <c r="C227" t="s">
        <v>443</v>
      </c>
      <c r="D227" t="s">
        <v>275</v>
      </c>
      <c r="E227" t="s">
        <v>444</v>
      </c>
      <c r="F227" t="s">
        <v>445</v>
      </c>
      <c r="G227" s="6">
        <v>53.19</v>
      </c>
      <c r="H227" s="6">
        <f t="shared" si="3"/>
        <v>0</v>
      </c>
      <c r="I227">
        <v>53.19</v>
      </c>
      <c r="J227" t="s">
        <v>24</v>
      </c>
      <c r="K227" t="s">
        <v>35</v>
      </c>
    </row>
    <row r="228" spans="1:11" x14ac:dyDescent="0.25">
      <c r="A228" s="8">
        <v>46079</v>
      </c>
      <c r="B228" s="10">
        <v>0.96125000000000005</v>
      </c>
      <c r="C228" t="s">
        <v>302</v>
      </c>
      <c r="D228" t="s">
        <v>275</v>
      </c>
      <c r="E228" t="s">
        <v>303</v>
      </c>
      <c r="F228" t="s">
        <v>304</v>
      </c>
      <c r="G228" s="6">
        <v>53.25</v>
      </c>
      <c r="H228" s="6">
        <f t="shared" si="3"/>
        <v>0</v>
      </c>
      <c r="I228">
        <v>53.25</v>
      </c>
      <c r="J228" t="s">
        <v>30</v>
      </c>
      <c r="K228" t="s">
        <v>35</v>
      </c>
    </row>
    <row r="229" spans="1:11" x14ac:dyDescent="0.25">
      <c r="A229" s="8">
        <v>46079</v>
      </c>
      <c r="B229" s="10">
        <v>0.37438657407407405</v>
      </c>
      <c r="C229" t="s">
        <v>926</v>
      </c>
      <c r="D229" t="s">
        <v>275</v>
      </c>
      <c r="E229" t="s">
        <v>927</v>
      </c>
      <c r="F229" t="s">
        <v>928</v>
      </c>
      <c r="G229" s="6">
        <v>53.54</v>
      </c>
      <c r="H229" s="6">
        <f t="shared" si="3"/>
        <v>0</v>
      </c>
      <c r="I229">
        <v>53.54</v>
      </c>
      <c r="J229" t="s">
        <v>25</v>
      </c>
      <c r="K229" t="s">
        <v>35</v>
      </c>
    </row>
    <row r="230" spans="1:11" x14ac:dyDescent="0.25">
      <c r="A230" s="8">
        <v>46079</v>
      </c>
      <c r="B230" s="10">
        <v>0.14939814814814814</v>
      </c>
      <c r="C230" t="s">
        <v>1130</v>
      </c>
      <c r="D230" t="s">
        <v>275</v>
      </c>
      <c r="E230" t="s">
        <v>1131</v>
      </c>
      <c r="F230" t="s">
        <v>1132</v>
      </c>
      <c r="G230" s="6">
        <v>54.09</v>
      </c>
      <c r="H230" s="6">
        <f t="shared" si="3"/>
        <v>0</v>
      </c>
      <c r="I230">
        <v>54.09</v>
      </c>
      <c r="J230" t="s">
        <v>22</v>
      </c>
      <c r="K230" t="s">
        <v>35</v>
      </c>
    </row>
    <row r="231" spans="1:11" x14ac:dyDescent="0.25">
      <c r="A231" s="8">
        <v>46079</v>
      </c>
      <c r="B231" s="10">
        <v>0.83445601851851847</v>
      </c>
      <c r="C231" t="s">
        <v>395</v>
      </c>
      <c r="D231" t="s">
        <v>275</v>
      </c>
      <c r="E231" t="s">
        <v>396</v>
      </c>
      <c r="F231" t="s">
        <v>397</v>
      </c>
      <c r="G231" s="6">
        <v>54.14</v>
      </c>
      <c r="H231" s="6">
        <f t="shared" si="3"/>
        <v>0</v>
      </c>
      <c r="I231">
        <v>54.14</v>
      </c>
      <c r="J231" t="s">
        <v>29</v>
      </c>
      <c r="K231" t="s">
        <v>35</v>
      </c>
    </row>
    <row r="232" spans="1:11" x14ac:dyDescent="0.25">
      <c r="A232" s="8">
        <v>46079</v>
      </c>
      <c r="B232" s="10">
        <v>0.27342592592592591</v>
      </c>
      <c r="C232" t="s">
        <v>1040</v>
      </c>
      <c r="D232" t="s">
        <v>275</v>
      </c>
      <c r="E232" t="s">
        <v>1041</v>
      </c>
      <c r="F232" t="s">
        <v>1042</v>
      </c>
      <c r="G232" s="6">
        <v>54.38</v>
      </c>
      <c r="H232" s="6">
        <f t="shared" si="3"/>
        <v>0</v>
      </c>
      <c r="I232">
        <v>54.38</v>
      </c>
      <c r="J232" t="s">
        <v>23</v>
      </c>
      <c r="K232" t="s">
        <v>35</v>
      </c>
    </row>
    <row r="233" spans="1:11" x14ac:dyDescent="0.25">
      <c r="A233" s="8">
        <v>46079</v>
      </c>
      <c r="B233" s="10">
        <v>0.6729398148148148</v>
      </c>
      <c r="C233" t="s">
        <v>545</v>
      </c>
      <c r="D233" t="s">
        <v>275</v>
      </c>
      <c r="E233" t="s">
        <v>546</v>
      </c>
      <c r="F233" t="s">
        <v>547</v>
      </c>
      <c r="G233" s="6">
        <v>54.49</v>
      </c>
      <c r="H233" s="6">
        <f t="shared" si="3"/>
        <v>0</v>
      </c>
      <c r="I233">
        <v>54.49</v>
      </c>
      <c r="J233" t="s">
        <v>32</v>
      </c>
      <c r="K233" t="s">
        <v>35</v>
      </c>
    </row>
    <row r="234" spans="1:11" x14ac:dyDescent="0.25">
      <c r="A234" s="8">
        <v>46079</v>
      </c>
      <c r="B234" s="10">
        <v>0.4199074074074074</v>
      </c>
      <c r="C234" t="s">
        <v>842</v>
      </c>
      <c r="D234" t="s">
        <v>275</v>
      </c>
      <c r="E234" t="s">
        <v>843</v>
      </c>
      <c r="F234" t="s">
        <v>844</v>
      </c>
      <c r="G234" s="6">
        <v>54.5</v>
      </c>
      <c r="H234" s="6">
        <f t="shared" si="3"/>
        <v>0</v>
      </c>
      <c r="I234">
        <v>54.5</v>
      </c>
      <c r="J234" t="s">
        <v>27</v>
      </c>
      <c r="K234" t="s">
        <v>35</v>
      </c>
    </row>
    <row r="235" spans="1:11" x14ac:dyDescent="0.25">
      <c r="A235" s="8">
        <v>46079</v>
      </c>
      <c r="B235" s="10">
        <v>0.33260416666666665</v>
      </c>
      <c r="C235" t="s">
        <v>974</v>
      </c>
      <c r="D235" t="s">
        <v>275</v>
      </c>
      <c r="E235" t="s">
        <v>975</v>
      </c>
      <c r="F235" t="s">
        <v>976</v>
      </c>
      <c r="G235" s="6">
        <v>54.5</v>
      </c>
      <c r="H235" s="6">
        <f t="shared" si="3"/>
        <v>0</v>
      </c>
      <c r="I235">
        <v>54.5</v>
      </c>
      <c r="J235" t="s">
        <v>32</v>
      </c>
      <c r="K235" t="s">
        <v>35</v>
      </c>
    </row>
    <row r="236" spans="1:11" x14ac:dyDescent="0.25">
      <c r="A236" s="8">
        <v>46079</v>
      </c>
      <c r="B236" s="10">
        <v>0.44990740740740742</v>
      </c>
      <c r="C236" t="s">
        <v>809</v>
      </c>
      <c r="D236" t="s">
        <v>275</v>
      </c>
      <c r="E236" t="s">
        <v>810</v>
      </c>
      <c r="F236" t="s">
        <v>811</v>
      </c>
      <c r="G236" s="6">
        <v>54.74</v>
      </c>
      <c r="H236" s="6">
        <f t="shared" si="3"/>
        <v>0</v>
      </c>
      <c r="I236">
        <v>54.74</v>
      </c>
      <c r="J236" t="s">
        <v>23</v>
      </c>
      <c r="K236" t="s">
        <v>35</v>
      </c>
    </row>
    <row r="237" spans="1:11" x14ac:dyDescent="0.25">
      <c r="A237" s="8">
        <v>46079</v>
      </c>
      <c r="B237" s="10">
        <v>0.56858796296296299</v>
      </c>
      <c r="C237" t="s">
        <v>674</v>
      </c>
      <c r="D237" t="s">
        <v>275</v>
      </c>
      <c r="E237" t="s">
        <v>675</v>
      </c>
      <c r="F237" t="s">
        <v>676</v>
      </c>
      <c r="G237" s="6">
        <v>55</v>
      </c>
      <c r="H237" s="6">
        <f t="shared" si="3"/>
        <v>0</v>
      </c>
      <c r="I237">
        <v>55</v>
      </c>
      <c r="J237" t="s">
        <v>27</v>
      </c>
      <c r="K237" t="s">
        <v>35</v>
      </c>
    </row>
    <row r="238" spans="1:11" x14ac:dyDescent="0.25">
      <c r="A238" s="8">
        <v>46079</v>
      </c>
      <c r="B238" s="10">
        <v>0.69113425925925931</v>
      </c>
      <c r="C238" t="s">
        <v>524</v>
      </c>
      <c r="D238" t="s">
        <v>275</v>
      </c>
      <c r="E238" t="s">
        <v>525</v>
      </c>
      <c r="F238" t="s">
        <v>526</v>
      </c>
      <c r="G238" s="6">
        <v>55.73</v>
      </c>
      <c r="H238" s="6">
        <f t="shared" si="3"/>
        <v>0</v>
      </c>
      <c r="I238">
        <v>55.73</v>
      </c>
      <c r="J238" t="s">
        <v>26</v>
      </c>
      <c r="K238" t="s">
        <v>35</v>
      </c>
    </row>
    <row r="239" spans="1:11" x14ac:dyDescent="0.25">
      <c r="A239" s="8">
        <v>46079</v>
      </c>
      <c r="B239" s="10">
        <v>0.60157407407407404</v>
      </c>
      <c r="C239" t="s">
        <v>641</v>
      </c>
      <c r="D239" t="s">
        <v>275</v>
      </c>
      <c r="E239" t="s">
        <v>642</v>
      </c>
      <c r="F239" t="s">
        <v>643</v>
      </c>
      <c r="G239" s="6">
        <v>56.08</v>
      </c>
      <c r="H239" s="6">
        <f t="shared" si="3"/>
        <v>0</v>
      </c>
      <c r="I239">
        <v>56.08</v>
      </c>
      <c r="J239" t="s">
        <v>24</v>
      </c>
      <c r="K239" t="s">
        <v>35</v>
      </c>
    </row>
    <row r="240" spans="1:11" x14ac:dyDescent="0.25">
      <c r="A240" s="8">
        <v>46079</v>
      </c>
      <c r="B240" s="10">
        <v>0.51574074074074072</v>
      </c>
      <c r="C240" t="s">
        <v>728</v>
      </c>
      <c r="D240" t="s">
        <v>275</v>
      </c>
      <c r="E240" t="s">
        <v>729</v>
      </c>
      <c r="F240" t="s">
        <v>730</v>
      </c>
      <c r="G240" s="6">
        <v>56.08</v>
      </c>
      <c r="H240" s="6">
        <f t="shared" si="3"/>
        <v>0</v>
      </c>
      <c r="I240">
        <v>56.08</v>
      </c>
      <c r="J240" t="s">
        <v>30</v>
      </c>
      <c r="K240" t="s">
        <v>35</v>
      </c>
    </row>
    <row r="241" spans="1:11" x14ac:dyDescent="0.25">
      <c r="A241" s="8">
        <v>46079</v>
      </c>
      <c r="B241" s="10">
        <v>0.86747685185185186</v>
      </c>
      <c r="C241" t="s">
        <v>377</v>
      </c>
      <c r="D241" t="s">
        <v>275</v>
      </c>
      <c r="E241" t="s">
        <v>378</v>
      </c>
      <c r="F241" t="s">
        <v>379</v>
      </c>
      <c r="G241" s="6">
        <v>56.68</v>
      </c>
      <c r="H241" s="6">
        <f t="shared" si="3"/>
        <v>0</v>
      </c>
      <c r="I241">
        <v>56.68</v>
      </c>
      <c r="J241" t="s">
        <v>28</v>
      </c>
      <c r="K241" t="s">
        <v>35</v>
      </c>
    </row>
    <row r="242" spans="1:11" x14ac:dyDescent="0.25">
      <c r="A242" s="8">
        <v>46079</v>
      </c>
      <c r="B242" s="10">
        <v>0.42387731481481483</v>
      </c>
      <c r="C242" t="s">
        <v>839</v>
      </c>
      <c r="D242" t="s">
        <v>275</v>
      </c>
      <c r="E242" t="s">
        <v>840</v>
      </c>
      <c r="F242" t="s">
        <v>841</v>
      </c>
      <c r="G242" s="6">
        <v>57.28</v>
      </c>
      <c r="H242" s="6">
        <f t="shared" si="3"/>
        <v>0</v>
      </c>
      <c r="I242">
        <v>57.28</v>
      </c>
      <c r="J242" t="s">
        <v>23</v>
      </c>
      <c r="K242" t="s">
        <v>35</v>
      </c>
    </row>
    <row r="243" spans="1:11" x14ac:dyDescent="0.25">
      <c r="A243" s="8">
        <v>46079</v>
      </c>
      <c r="B243" s="10">
        <v>0.4558564814814815</v>
      </c>
      <c r="C243" t="s">
        <v>803</v>
      </c>
      <c r="D243" t="s">
        <v>275</v>
      </c>
      <c r="E243" t="s">
        <v>804</v>
      </c>
      <c r="F243" t="s">
        <v>805</v>
      </c>
      <c r="G243" s="6">
        <v>57.43</v>
      </c>
      <c r="H243" s="6">
        <f t="shared" si="3"/>
        <v>0</v>
      </c>
      <c r="I243">
        <v>57.43</v>
      </c>
      <c r="J243" t="s">
        <v>23</v>
      </c>
      <c r="K243" t="s">
        <v>35</v>
      </c>
    </row>
    <row r="244" spans="1:11" x14ac:dyDescent="0.25">
      <c r="A244" s="8">
        <v>46079</v>
      </c>
      <c r="B244" s="10">
        <v>0.3734837962962963</v>
      </c>
      <c r="C244" t="s">
        <v>932</v>
      </c>
      <c r="D244" t="s">
        <v>275</v>
      </c>
      <c r="E244" t="s">
        <v>933</v>
      </c>
      <c r="F244" t="s">
        <v>934</v>
      </c>
      <c r="G244" s="6">
        <v>57.88</v>
      </c>
      <c r="H244" s="6">
        <f t="shared" si="3"/>
        <v>0</v>
      </c>
      <c r="I244">
        <v>57.88</v>
      </c>
      <c r="J244" t="s">
        <v>27</v>
      </c>
      <c r="K244" t="s">
        <v>35</v>
      </c>
    </row>
    <row r="245" spans="1:11" x14ac:dyDescent="0.25">
      <c r="A245" s="8">
        <v>46079</v>
      </c>
      <c r="B245" s="10">
        <v>0.52679398148148149</v>
      </c>
      <c r="C245" t="s">
        <v>713</v>
      </c>
      <c r="D245" t="s">
        <v>275</v>
      </c>
      <c r="E245" t="s">
        <v>714</v>
      </c>
      <c r="F245" t="s">
        <v>715</v>
      </c>
      <c r="G245" s="6">
        <v>57.89</v>
      </c>
      <c r="H245" s="6">
        <f t="shared" si="3"/>
        <v>0</v>
      </c>
      <c r="I245">
        <v>57.89</v>
      </c>
      <c r="J245" t="s">
        <v>24</v>
      </c>
      <c r="K245" t="s">
        <v>35</v>
      </c>
    </row>
    <row r="246" spans="1:11" x14ac:dyDescent="0.25">
      <c r="A246" s="8">
        <v>46079</v>
      </c>
      <c r="B246" s="10">
        <v>9.6990740740740735E-3</v>
      </c>
      <c r="C246" t="s">
        <v>1160</v>
      </c>
      <c r="D246" t="s">
        <v>275</v>
      </c>
      <c r="E246" t="s">
        <v>1161</v>
      </c>
      <c r="F246" t="s">
        <v>1162</v>
      </c>
      <c r="G246" s="6">
        <v>57.98</v>
      </c>
      <c r="H246" s="6">
        <f t="shared" si="3"/>
        <v>0</v>
      </c>
      <c r="I246">
        <v>57.98</v>
      </c>
      <c r="J246" t="s">
        <v>22</v>
      </c>
      <c r="K246" t="s">
        <v>35</v>
      </c>
    </row>
    <row r="247" spans="1:11" x14ac:dyDescent="0.25">
      <c r="A247" s="8">
        <v>46079</v>
      </c>
      <c r="B247" s="10">
        <v>0.24697916666666667</v>
      </c>
      <c r="C247" t="s">
        <v>1076</v>
      </c>
      <c r="D247" t="s">
        <v>275</v>
      </c>
      <c r="E247" t="s">
        <v>1077</v>
      </c>
      <c r="F247" t="s">
        <v>1078</v>
      </c>
      <c r="G247" s="6">
        <v>59.43</v>
      </c>
      <c r="H247" s="6">
        <f t="shared" si="3"/>
        <v>0</v>
      </c>
      <c r="I247">
        <v>59.43</v>
      </c>
      <c r="J247" t="s">
        <v>23</v>
      </c>
      <c r="K247" t="s">
        <v>35</v>
      </c>
    </row>
    <row r="248" spans="1:11" x14ac:dyDescent="0.25">
      <c r="A248" s="8">
        <v>46079</v>
      </c>
      <c r="B248" s="10">
        <v>0.44916666666666666</v>
      </c>
      <c r="C248" t="s">
        <v>815</v>
      </c>
      <c r="D248" t="s">
        <v>275</v>
      </c>
      <c r="E248" t="s">
        <v>816</v>
      </c>
      <c r="F248" t="s">
        <v>817</v>
      </c>
      <c r="G248" s="6">
        <v>59.97</v>
      </c>
      <c r="H248" s="6">
        <f t="shared" si="3"/>
        <v>0</v>
      </c>
      <c r="I248">
        <v>59.97</v>
      </c>
      <c r="J248" t="s">
        <v>23</v>
      </c>
      <c r="K248" t="s">
        <v>35</v>
      </c>
    </row>
    <row r="249" spans="1:11" x14ac:dyDescent="0.25">
      <c r="A249" s="8">
        <v>46079</v>
      </c>
      <c r="B249" s="10">
        <v>0.52048611111111109</v>
      </c>
      <c r="C249" t="s">
        <v>722</v>
      </c>
      <c r="D249" t="s">
        <v>275</v>
      </c>
      <c r="E249" t="s">
        <v>723</v>
      </c>
      <c r="F249" t="s">
        <v>724</v>
      </c>
      <c r="G249" s="6">
        <v>60</v>
      </c>
      <c r="H249" s="6">
        <f t="shared" si="3"/>
        <v>0</v>
      </c>
      <c r="I249">
        <v>60</v>
      </c>
      <c r="J249" t="s">
        <v>22</v>
      </c>
      <c r="K249" t="s">
        <v>35</v>
      </c>
    </row>
    <row r="250" spans="1:11" x14ac:dyDescent="0.25">
      <c r="A250" s="8">
        <v>46079</v>
      </c>
      <c r="B250" s="10">
        <v>0.48789351851851853</v>
      </c>
      <c r="C250" t="s">
        <v>761</v>
      </c>
      <c r="D250" t="s">
        <v>275</v>
      </c>
      <c r="E250" t="s">
        <v>762</v>
      </c>
      <c r="F250" t="s">
        <v>763</v>
      </c>
      <c r="G250" s="6">
        <v>60</v>
      </c>
      <c r="H250" s="6">
        <f t="shared" si="3"/>
        <v>0</v>
      </c>
      <c r="I250">
        <v>60</v>
      </c>
      <c r="J250" t="s">
        <v>24</v>
      </c>
      <c r="K250" t="s">
        <v>35</v>
      </c>
    </row>
    <row r="251" spans="1:11" x14ac:dyDescent="0.25">
      <c r="A251" s="8">
        <v>46079</v>
      </c>
      <c r="B251" s="10">
        <v>0.46884259259259259</v>
      </c>
      <c r="C251" t="s">
        <v>779</v>
      </c>
      <c r="D251" t="s">
        <v>275</v>
      </c>
      <c r="E251" t="s">
        <v>780</v>
      </c>
      <c r="F251" t="s">
        <v>781</v>
      </c>
      <c r="G251" s="6">
        <v>60</v>
      </c>
      <c r="H251" s="6">
        <f t="shared" si="3"/>
        <v>0</v>
      </c>
      <c r="I251">
        <v>60</v>
      </c>
      <c r="J251" t="s">
        <v>24</v>
      </c>
      <c r="K251" t="s">
        <v>35</v>
      </c>
    </row>
    <row r="252" spans="1:11" x14ac:dyDescent="0.25">
      <c r="A252" s="8">
        <v>46079</v>
      </c>
      <c r="B252" s="10">
        <v>0.1960648148148148</v>
      </c>
      <c r="C252" t="s">
        <v>1121</v>
      </c>
      <c r="D252" t="s">
        <v>275</v>
      </c>
      <c r="E252" t="s">
        <v>1122</v>
      </c>
      <c r="F252" t="s">
        <v>1123</v>
      </c>
      <c r="G252" s="6">
        <v>60</v>
      </c>
      <c r="H252" s="6">
        <f t="shared" si="3"/>
        <v>0</v>
      </c>
      <c r="I252">
        <v>60</v>
      </c>
      <c r="J252" t="s">
        <v>26</v>
      </c>
      <c r="K252" t="s">
        <v>35</v>
      </c>
    </row>
    <row r="253" spans="1:11" x14ac:dyDescent="0.25">
      <c r="A253" s="8">
        <v>46079</v>
      </c>
      <c r="B253" s="10">
        <v>0.85837962962962966</v>
      </c>
      <c r="C253" t="s">
        <v>380</v>
      </c>
      <c r="D253" t="s">
        <v>275</v>
      </c>
      <c r="E253" t="s">
        <v>381</v>
      </c>
      <c r="F253" t="s">
        <v>382</v>
      </c>
      <c r="G253" s="6">
        <v>60.12</v>
      </c>
      <c r="H253" s="6">
        <f t="shared" si="3"/>
        <v>0</v>
      </c>
      <c r="I253">
        <v>60.12</v>
      </c>
      <c r="J253" t="s">
        <v>30</v>
      </c>
      <c r="K253" t="s">
        <v>35</v>
      </c>
    </row>
    <row r="254" spans="1:11" x14ac:dyDescent="0.25">
      <c r="A254" s="8">
        <v>46079</v>
      </c>
      <c r="B254" s="10">
        <v>0.23982638888888888</v>
      </c>
      <c r="C254" t="s">
        <v>1088</v>
      </c>
      <c r="D254" t="s">
        <v>275</v>
      </c>
      <c r="E254" t="s">
        <v>1089</v>
      </c>
      <c r="F254" t="s">
        <v>1090</v>
      </c>
      <c r="G254" s="6">
        <v>60.27</v>
      </c>
      <c r="H254" s="6">
        <f t="shared" si="3"/>
        <v>0</v>
      </c>
      <c r="I254">
        <v>60.27</v>
      </c>
      <c r="J254" t="s">
        <v>26</v>
      </c>
      <c r="K254" t="s">
        <v>35</v>
      </c>
    </row>
    <row r="255" spans="1:11" x14ac:dyDescent="0.25">
      <c r="A255" s="8">
        <v>46079</v>
      </c>
      <c r="B255" s="10">
        <v>0.58769675925925924</v>
      </c>
      <c r="C255" t="s">
        <v>659</v>
      </c>
      <c r="D255" t="s">
        <v>275</v>
      </c>
      <c r="E255" t="s">
        <v>660</v>
      </c>
      <c r="F255" t="s">
        <v>661</v>
      </c>
      <c r="G255" s="6">
        <v>61.38</v>
      </c>
      <c r="H255" s="6">
        <f t="shared" si="3"/>
        <v>0</v>
      </c>
      <c r="I255">
        <v>61.38</v>
      </c>
      <c r="J255" t="s">
        <v>32</v>
      </c>
      <c r="K255" t="s">
        <v>35</v>
      </c>
    </row>
    <row r="256" spans="1:11" x14ac:dyDescent="0.25">
      <c r="A256" s="8">
        <v>46079</v>
      </c>
      <c r="B256" s="10">
        <v>0.47680555555555554</v>
      </c>
      <c r="C256" t="s">
        <v>773</v>
      </c>
      <c r="D256" t="s">
        <v>275</v>
      </c>
      <c r="E256" t="s">
        <v>774</v>
      </c>
      <c r="F256" t="s">
        <v>775</v>
      </c>
      <c r="G256" s="6">
        <v>61.52</v>
      </c>
      <c r="H256" s="6">
        <f t="shared" si="3"/>
        <v>0</v>
      </c>
      <c r="I256">
        <v>61.52</v>
      </c>
      <c r="J256" t="s">
        <v>23</v>
      </c>
      <c r="K256" t="s">
        <v>35</v>
      </c>
    </row>
    <row r="257" spans="1:11" x14ac:dyDescent="0.25">
      <c r="A257" s="8">
        <v>46079</v>
      </c>
      <c r="B257" s="10">
        <v>0.70795138888888887</v>
      </c>
      <c r="C257" t="s">
        <v>500</v>
      </c>
      <c r="D257" t="s">
        <v>275</v>
      </c>
      <c r="E257" t="s">
        <v>501</v>
      </c>
      <c r="F257" t="s">
        <v>502</v>
      </c>
      <c r="G257" s="6">
        <v>61.92</v>
      </c>
      <c r="H257" s="6">
        <f t="shared" si="3"/>
        <v>0</v>
      </c>
      <c r="I257">
        <v>61.92</v>
      </c>
      <c r="J257" t="s">
        <v>24</v>
      </c>
      <c r="K257" t="s">
        <v>35</v>
      </c>
    </row>
    <row r="258" spans="1:11" x14ac:dyDescent="0.25">
      <c r="A258" s="8">
        <v>46079</v>
      </c>
      <c r="B258" s="10">
        <v>0.92701388888888892</v>
      </c>
      <c r="C258" t="s">
        <v>326</v>
      </c>
      <c r="D258" t="s">
        <v>275</v>
      </c>
      <c r="E258" t="s">
        <v>327</v>
      </c>
      <c r="F258" t="s">
        <v>328</v>
      </c>
      <c r="G258" s="6">
        <v>62.07</v>
      </c>
      <c r="H258" s="6">
        <f t="shared" si="3"/>
        <v>0</v>
      </c>
      <c r="I258">
        <v>62.07</v>
      </c>
      <c r="J258" t="s">
        <v>30</v>
      </c>
      <c r="K258" t="s">
        <v>35</v>
      </c>
    </row>
    <row r="259" spans="1:11" x14ac:dyDescent="0.25">
      <c r="A259" s="8">
        <v>46079</v>
      </c>
      <c r="B259" s="10">
        <v>0.32863425925925926</v>
      </c>
      <c r="C259" t="s">
        <v>980</v>
      </c>
      <c r="D259" t="s">
        <v>275</v>
      </c>
      <c r="E259" t="s">
        <v>981</v>
      </c>
      <c r="F259" t="s">
        <v>982</v>
      </c>
      <c r="G259" s="6">
        <v>62.32</v>
      </c>
      <c r="H259" s="6">
        <f t="shared" ref="H259:H298" si="4">G259-I259</f>
        <v>0</v>
      </c>
      <c r="I259">
        <v>62.32</v>
      </c>
      <c r="J259" t="s">
        <v>23</v>
      </c>
      <c r="K259" t="s">
        <v>35</v>
      </c>
    </row>
    <row r="260" spans="1:11" x14ac:dyDescent="0.25">
      <c r="A260" s="8">
        <v>46079</v>
      </c>
      <c r="B260" s="10">
        <v>0.60417824074074078</v>
      </c>
      <c r="C260" t="s">
        <v>635</v>
      </c>
      <c r="D260" t="s">
        <v>275</v>
      </c>
      <c r="E260" t="s">
        <v>636</v>
      </c>
      <c r="F260" t="s">
        <v>637</v>
      </c>
      <c r="G260" s="6">
        <v>62.87</v>
      </c>
      <c r="H260" s="6">
        <f t="shared" si="4"/>
        <v>0</v>
      </c>
      <c r="I260">
        <v>62.87</v>
      </c>
      <c r="J260" t="s">
        <v>26</v>
      </c>
      <c r="K260" t="s">
        <v>35</v>
      </c>
    </row>
    <row r="261" spans="1:11" x14ac:dyDescent="0.25">
      <c r="A261" s="8">
        <v>46079</v>
      </c>
      <c r="B261" s="10">
        <v>0.55815972222222221</v>
      </c>
      <c r="C261" t="s">
        <v>689</v>
      </c>
      <c r="D261" t="s">
        <v>275</v>
      </c>
      <c r="E261" t="s">
        <v>690</v>
      </c>
      <c r="F261" t="s">
        <v>691</v>
      </c>
      <c r="G261" s="6">
        <v>63.17</v>
      </c>
      <c r="H261" s="6">
        <f t="shared" si="4"/>
        <v>0</v>
      </c>
      <c r="I261">
        <v>63.17</v>
      </c>
      <c r="J261" t="s">
        <v>24</v>
      </c>
      <c r="K261" t="s">
        <v>35</v>
      </c>
    </row>
    <row r="262" spans="1:11" x14ac:dyDescent="0.25">
      <c r="A262" s="8">
        <v>46079</v>
      </c>
      <c r="B262" s="10">
        <v>0.31135416666666665</v>
      </c>
      <c r="C262" t="s">
        <v>998</v>
      </c>
      <c r="D262" t="s">
        <v>275</v>
      </c>
      <c r="E262" t="s">
        <v>999</v>
      </c>
      <c r="F262" t="s">
        <v>1000</v>
      </c>
      <c r="G262" s="6">
        <v>64.5</v>
      </c>
      <c r="H262" s="6">
        <f t="shared" si="4"/>
        <v>0</v>
      </c>
      <c r="I262">
        <v>64.5</v>
      </c>
      <c r="J262" t="s">
        <v>26</v>
      </c>
      <c r="K262" t="s">
        <v>35</v>
      </c>
    </row>
    <row r="263" spans="1:11" x14ac:dyDescent="0.25">
      <c r="A263" s="8">
        <v>46079</v>
      </c>
      <c r="B263" s="10">
        <v>0.71979166666666672</v>
      </c>
      <c r="C263" t="s">
        <v>488</v>
      </c>
      <c r="D263" t="s">
        <v>275</v>
      </c>
      <c r="E263" t="s">
        <v>489</v>
      </c>
      <c r="F263" t="s">
        <v>490</v>
      </c>
      <c r="G263" s="6">
        <v>64.67</v>
      </c>
      <c r="H263" s="6">
        <f t="shared" si="4"/>
        <v>0</v>
      </c>
      <c r="I263">
        <v>64.67</v>
      </c>
      <c r="J263" t="s">
        <v>32</v>
      </c>
      <c r="K263" t="s">
        <v>35</v>
      </c>
    </row>
    <row r="264" spans="1:11" x14ac:dyDescent="0.25">
      <c r="A264" s="8">
        <v>46079</v>
      </c>
      <c r="B264" s="10">
        <v>0.88481481481481483</v>
      </c>
      <c r="C264" t="s">
        <v>368</v>
      </c>
      <c r="D264" t="s">
        <v>275</v>
      </c>
      <c r="E264" t="s">
        <v>369</v>
      </c>
      <c r="F264" t="s">
        <v>370</v>
      </c>
      <c r="G264" s="6">
        <v>65</v>
      </c>
      <c r="H264" s="6">
        <f t="shared" si="4"/>
        <v>0</v>
      </c>
      <c r="I264">
        <v>65</v>
      </c>
      <c r="J264" t="s">
        <v>28</v>
      </c>
      <c r="K264" t="s">
        <v>35</v>
      </c>
    </row>
    <row r="265" spans="1:11" x14ac:dyDescent="0.25">
      <c r="A265" s="8">
        <v>46079</v>
      </c>
      <c r="B265" s="10">
        <v>0.38878472222222221</v>
      </c>
      <c r="C265" t="s">
        <v>914</v>
      </c>
      <c r="D265" t="s">
        <v>275</v>
      </c>
      <c r="E265" t="s">
        <v>915</v>
      </c>
      <c r="F265" t="s">
        <v>916</v>
      </c>
      <c r="G265" s="6">
        <v>65.56</v>
      </c>
      <c r="H265" s="6">
        <f t="shared" si="4"/>
        <v>0</v>
      </c>
      <c r="I265">
        <v>65.56</v>
      </c>
      <c r="J265" t="s">
        <v>23</v>
      </c>
      <c r="K265" t="s">
        <v>35</v>
      </c>
    </row>
    <row r="266" spans="1:11" x14ac:dyDescent="0.25">
      <c r="A266" s="8">
        <v>46079</v>
      </c>
      <c r="B266" s="10">
        <v>0.36451388888888892</v>
      </c>
      <c r="C266" t="s">
        <v>947</v>
      </c>
      <c r="D266" t="s">
        <v>275</v>
      </c>
      <c r="E266" t="s">
        <v>948</v>
      </c>
      <c r="F266" t="s">
        <v>949</v>
      </c>
      <c r="G266" s="6">
        <v>65.959999999999994</v>
      </c>
      <c r="H266" s="6">
        <f t="shared" si="4"/>
        <v>0</v>
      </c>
      <c r="I266">
        <v>65.959999999999994</v>
      </c>
      <c r="J266" t="s">
        <v>23</v>
      </c>
      <c r="K266" t="s">
        <v>35</v>
      </c>
    </row>
    <row r="267" spans="1:11" x14ac:dyDescent="0.25">
      <c r="A267" s="8">
        <v>46079</v>
      </c>
      <c r="B267" s="10">
        <v>0.26858796296296295</v>
      </c>
      <c r="C267" t="s">
        <v>1049</v>
      </c>
      <c r="D267" t="s">
        <v>275</v>
      </c>
      <c r="E267" t="s">
        <v>1050</v>
      </c>
      <c r="F267" t="s">
        <v>1051</v>
      </c>
      <c r="G267" s="6">
        <v>66.61</v>
      </c>
      <c r="H267" s="6">
        <f t="shared" si="4"/>
        <v>0</v>
      </c>
      <c r="I267">
        <v>66.61</v>
      </c>
      <c r="J267" t="s">
        <v>27</v>
      </c>
      <c r="K267" t="s">
        <v>35</v>
      </c>
    </row>
    <row r="268" spans="1:11" x14ac:dyDescent="0.25">
      <c r="A268" s="8">
        <v>46079</v>
      </c>
      <c r="B268" s="10">
        <v>0.2195138888888889</v>
      </c>
      <c r="C268" t="s">
        <v>1106</v>
      </c>
      <c r="D268" t="s">
        <v>275</v>
      </c>
      <c r="E268" t="s">
        <v>1107</v>
      </c>
      <c r="F268" t="s">
        <v>1108</v>
      </c>
      <c r="G268" s="6">
        <v>66.959999999999994</v>
      </c>
      <c r="H268" s="6">
        <f t="shared" si="4"/>
        <v>0</v>
      </c>
      <c r="I268">
        <v>66.959999999999994</v>
      </c>
      <c r="J268" t="s">
        <v>22</v>
      </c>
      <c r="K268" t="s">
        <v>35</v>
      </c>
    </row>
    <row r="269" spans="1:11" x14ac:dyDescent="0.25">
      <c r="A269" s="8">
        <v>46079</v>
      </c>
      <c r="B269" s="10">
        <v>0.51556712962962958</v>
      </c>
      <c r="C269" t="s">
        <v>731</v>
      </c>
      <c r="D269" t="s">
        <v>275</v>
      </c>
      <c r="E269" t="s">
        <v>732</v>
      </c>
      <c r="F269" t="s">
        <v>733</v>
      </c>
      <c r="G269" s="6">
        <v>67.61</v>
      </c>
      <c r="H269" s="6">
        <f t="shared" si="4"/>
        <v>0</v>
      </c>
      <c r="I269">
        <v>67.61</v>
      </c>
      <c r="J269" t="s">
        <v>26</v>
      </c>
      <c r="K269" t="s">
        <v>35</v>
      </c>
    </row>
    <row r="270" spans="1:11" x14ac:dyDescent="0.25">
      <c r="A270" s="8">
        <v>46079</v>
      </c>
      <c r="B270" s="10">
        <v>0.3658912037037037</v>
      </c>
      <c r="C270" t="s">
        <v>941</v>
      </c>
      <c r="D270" t="s">
        <v>275</v>
      </c>
      <c r="E270" t="s">
        <v>942</v>
      </c>
      <c r="F270" t="s">
        <v>943</v>
      </c>
      <c r="G270" s="6">
        <v>69.819999999999993</v>
      </c>
      <c r="H270" s="6">
        <f t="shared" si="4"/>
        <v>0</v>
      </c>
      <c r="I270">
        <v>69.819999999999993</v>
      </c>
      <c r="J270" t="s">
        <v>23</v>
      </c>
      <c r="K270" t="s">
        <v>35</v>
      </c>
    </row>
    <row r="271" spans="1:11" x14ac:dyDescent="0.25">
      <c r="A271" s="8">
        <v>46079</v>
      </c>
      <c r="B271" s="10">
        <v>0.21206018518518518</v>
      </c>
      <c r="C271" t="s">
        <v>1109</v>
      </c>
      <c r="D271" t="s">
        <v>275</v>
      </c>
      <c r="E271" t="s">
        <v>1110</v>
      </c>
      <c r="F271" t="s">
        <v>1111</v>
      </c>
      <c r="G271" s="6">
        <v>70</v>
      </c>
      <c r="H271" s="6">
        <f t="shared" si="4"/>
        <v>0</v>
      </c>
      <c r="I271">
        <v>70</v>
      </c>
      <c r="J271" t="s">
        <v>22</v>
      </c>
      <c r="K271" t="s">
        <v>35</v>
      </c>
    </row>
    <row r="272" spans="1:11" x14ac:dyDescent="0.25">
      <c r="A272" s="8">
        <v>46079</v>
      </c>
      <c r="B272" s="10">
        <v>0.40976851851851853</v>
      </c>
      <c r="C272" t="s">
        <v>869</v>
      </c>
      <c r="D272" t="s">
        <v>275</v>
      </c>
      <c r="E272" t="s">
        <v>870</v>
      </c>
      <c r="F272" t="s">
        <v>871</v>
      </c>
      <c r="G272" s="6">
        <v>73</v>
      </c>
      <c r="H272" s="6">
        <f t="shared" si="4"/>
        <v>0</v>
      </c>
      <c r="I272">
        <v>73</v>
      </c>
      <c r="J272" t="s">
        <v>23</v>
      </c>
      <c r="K272" t="s">
        <v>35</v>
      </c>
    </row>
    <row r="273" spans="1:11" x14ac:dyDescent="0.25">
      <c r="A273" s="8">
        <v>46079</v>
      </c>
      <c r="B273" s="10">
        <v>0.53988425925925931</v>
      </c>
      <c r="C273" t="s">
        <v>704</v>
      </c>
      <c r="D273" t="s">
        <v>275</v>
      </c>
      <c r="E273" t="s">
        <v>705</v>
      </c>
      <c r="F273" t="s">
        <v>706</v>
      </c>
      <c r="G273" s="6">
        <v>76.760000000000005</v>
      </c>
      <c r="H273" s="6">
        <f t="shared" si="4"/>
        <v>0</v>
      </c>
      <c r="I273">
        <v>76.760000000000005</v>
      </c>
      <c r="J273" t="s">
        <v>25</v>
      </c>
      <c r="K273" t="s">
        <v>35</v>
      </c>
    </row>
    <row r="274" spans="1:11" x14ac:dyDescent="0.25">
      <c r="A274" s="8">
        <v>46079</v>
      </c>
      <c r="B274" s="10">
        <v>0.97354166666666664</v>
      </c>
      <c r="C274" t="s">
        <v>284</v>
      </c>
      <c r="D274" t="s">
        <v>275</v>
      </c>
      <c r="E274" t="s">
        <v>285</v>
      </c>
      <c r="F274" t="s">
        <v>286</v>
      </c>
      <c r="G274" s="6">
        <v>80</v>
      </c>
      <c r="H274" s="6">
        <f t="shared" si="4"/>
        <v>0</v>
      </c>
      <c r="I274">
        <v>80</v>
      </c>
      <c r="J274" t="s">
        <v>29</v>
      </c>
      <c r="K274" t="s">
        <v>35</v>
      </c>
    </row>
    <row r="275" spans="1:11" x14ac:dyDescent="0.25">
      <c r="A275" s="8">
        <v>46079</v>
      </c>
      <c r="B275" s="10">
        <v>0.55194444444444446</v>
      </c>
      <c r="C275" t="s">
        <v>698</v>
      </c>
      <c r="D275" t="s">
        <v>275</v>
      </c>
      <c r="E275" t="s">
        <v>699</v>
      </c>
      <c r="F275" t="s">
        <v>700</v>
      </c>
      <c r="G275" s="6">
        <v>90</v>
      </c>
      <c r="H275" s="6">
        <f t="shared" si="4"/>
        <v>0</v>
      </c>
      <c r="I275">
        <v>90</v>
      </c>
      <c r="J275" t="s">
        <v>27</v>
      </c>
      <c r="K275" t="s">
        <v>35</v>
      </c>
    </row>
    <row r="276" spans="1:11" x14ac:dyDescent="0.25">
      <c r="A276" s="8">
        <v>46079</v>
      </c>
      <c r="B276" s="10">
        <v>0.6079282407407407</v>
      </c>
      <c r="C276" t="s">
        <v>626</v>
      </c>
      <c r="D276" t="s">
        <v>275</v>
      </c>
      <c r="E276" t="s">
        <v>627</v>
      </c>
      <c r="F276" t="s">
        <v>628</v>
      </c>
      <c r="G276" s="6">
        <v>95.37</v>
      </c>
      <c r="H276" s="6">
        <f t="shared" si="4"/>
        <v>0</v>
      </c>
      <c r="I276">
        <v>95.37</v>
      </c>
      <c r="J276" t="s">
        <v>30</v>
      </c>
      <c r="K276" t="s">
        <v>35</v>
      </c>
    </row>
    <row r="277" spans="1:11" x14ac:dyDescent="0.25">
      <c r="A277" s="8">
        <v>46079</v>
      </c>
      <c r="B277" s="10">
        <v>0.76155092592592588</v>
      </c>
      <c r="C277" t="s">
        <v>431</v>
      </c>
      <c r="D277" t="s">
        <v>275</v>
      </c>
      <c r="E277" t="s">
        <v>432</v>
      </c>
      <c r="F277" t="s">
        <v>433</v>
      </c>
      <c r="G277" s="6">
        <v>100</v>
      </c>
      <c r="H277" s="6">
        <f t="shared" si="4"/>
        <v>0</v>
      </c>
      <c r="I277">
        <v>100</v>
      </c>
      <c r="J277" t="s">
        <v>23</v>
      </c>
      <c r="K277" t="s">
        <v>35</v>
      </c>
    </row>
    <row r="278" spans="1:11" x14ac:dyDescent="0.25">
      <c r="A278" s="8">
        <v>46079</v>
      </c>
      <c r="B278" s="10">
        <v>0.73486111111111108</v>
      </c>
      <c r="C278" t="s">
        <v>482</v>
      </c>
      <c r="D278" t="s">
        <v>275</v>
      </c>
      <c r="E278" t="s">
        <v>483</v>
      </c>
      <c r="F278" t="s">
        <v>484</v>
      </c>
      <c r="G278" s="6">
        <v>100</v>
      </c>
      <c r="H278" s="6">
        <f t="shared" si="4"/>
        <v>0</v>
      </c>
      <c r="I278">
        <v>100</v>
      </c>
      <c r="J278" t="s">
        <v>23</v>
      </c>
      <c r="K278" t="s">
        <v>35</v>
      </c>
    </row>
    <row r="279" spans="1:11" x14ac:dyDescent="0.25">
      <c r="A279" s="8">
        <v>46079</v>
      </c>
      <c r="B279" s="10">
        <v>0.69329861111111113</v>
      </c>
      <c r="C279" t="s">
        <v>518</v>
      </c>
      <c r="D279" t="s">
        <v>275</v>
      </c>
      <c r="E279" t="s">
        <v>519</v>
      </c>
      <c r="F279" t="s">
        <v>520</v>
      </c>
      <c r="G279" s="6">
        <v>100</v>
      </c>
      <c r="H279" s="6">
        <f t="shared" si="4"/>
        <v>0</v>
      </c>
      <c r="I279">
        <v>100</v>
      </c>
      <c r="J279" t="s">
        <v>23</v>
      </c>
      <c r="K279" t="s">
        <v>35</v>
      </c>
    </row>
    <row r="280" spans="1:11" x14ac:dyDescent="0.25">
      <c r="A280" s="8">
        <v>46079</v>
      </c>
      <c r="B280" s="10">
        <v>0.69062500000000004</v>
      </c>
      <c r="C280" t="s">
        <v>527</v>
      </c>
      <c r="D280" t="s">
        <v>275</v>
      </c>
      <c r="E280" t="s">
        <v>528</v>
      </c>
      <c r="F280" t="s">
        <v>529</v>
      </c>
      <c r="G280" s="6">
        <v>100</v>
      </c>
      <c r="H280" s="6">
        <f t="shared" si="4"/>
        <v>0</v>
      </c>
      <c r="I280">
        <v>100</v>
      </c>
      <c r="J280" t="s">
        <v>23</v>
      </c>
      <c r="K280" t="s">
        <v>35</v>
      </c>
    </row>
    <row r="281" spans="1:11" x14ac:dyDescent="0.25">
      <c r="A281" s="8">
        <v>46079</v>
      </c>
      <c r="B281" s="10">
        <v>0.56057870370370366</v>
      </c>
      <c r="C281" t="s">
        <v>680</v>
      </c>
      <c r="D281" t="s">
        <v>275</v>
      </c>
      <c r="E281" t="s">
        <v>681</v>
      </c>
      <c r="F281" t="s">
        <v>682</v>
      </c>
      <c r="G281" s="6">
        <v>100</v>
      </c>
      <c r="H281" s="6">
        <f t="shared" si="4"/>
        <v>0</v>
      </c>
      <c r="I281">
        <v>100</v>
      </c>
      <c r="J281" t="s">
        <v>24</v>
      </c>
      <c r="K281" t="s">
        <v>35</v>
      </c>
    </row>
    <row r="282" spans="1:11" x14ac:dyDescent="0.25">
      <c r="A282" s="8">
        <v>46079</v>
      </c>
      <c r="B282" s="10">
        <v>0.4561574074074074</v>
      </c>
      <c r="C282" t="s">
        <v>800</v>
      </c>
      <c r="D282" t="s">
        <v>275</v>
      </c>
      <c r="E282" t="s">
        <v>801</v>
      </c>
      <c r="F282" t="s">
        <v>802</v>
      </c>
      <c r="G282" s="6">
        <v>100</v>
      </c>
      <c r="H282" s="6">
        <f t="shared" si="4"/>
        <v>0</v>
      </c>
      <c r="I282">
        <v>100</v>
      </c>
      <c r="J282" t="s">
        <v>24</v>
      </c>
      <c r="K282" t="s">
        <v>35</v>
      </c>
    </row>
    <row r="283" spans="1:11" x14ac:dyDescent="0.25">
      <c r="A283" s="8">
        <v>46079</v>
      </c>
      <c r="B283" s="10">
        <v>0.4493287037037037</v>
      </c>
      <c r="C283" t="s">
        <v>812</v>
      </c>
      <c r="D283" t="s">
        <v>275</v>
      </c>
      <c r="E283" t="s">
        <v>813</v>
      </c>
      <c r="F283" t="s">
        <v>814</v>
      </c>
      <c r="G283" s="6">
        <v>100</v>
      </c>
      <c r="H283" s="6">
        <f t="shared" si="4"/>
        <v>0</v>
      </c>
      <c r="I283">
        <v>100</v>
      </c>
      <c r="J283" t="s">
        <v>24</v>
      </c>
      <c r="K283" t="s">
        <v>35</v>
      </c>
    </row>
    <row r="284" spans="1:11" x14ac:dyDescent="0.25">
      <c r="A284" s="8">
        <v>46079</v>
      </c>
      <c r="B284" s="10">
        <v>0.43334490740740739</v>
      </c>
      <c r="C284" t="s">
        <v>830</v>
      </c>
      <c r="D284" t="s">
        <v>275</v>
      </c>
      <c r="E284" t="s">
        <v>831</v>
      </c>
      <c r="F284" t="s">
        <v>832</v>
      </c>
      <c r="G284" s="6">
        <v>100</v>
      </c>
      <c r="H284" s="6">
        <f t="shared" si="4"/>
        <v>0</v>
      </c>
      <c r="I284">
        <v>100</v>
      </c>
      <c r="J284" t="s">
        <v>24</v>
      </c>
      <c r="K284" t="s">
        <v>35</v>
      </c>
    </row>
    <row r="285" spans="1:11" x14ac:dyDescent="0.25">
      <c r="A285" s="8">
        <v>46079</v>
      </c>
      <c r="B285" s="10">
        <v>0.39968749999999997</v>
      </c>
      <c r="C285" t="s">
        <v>896</v>
      </c>
      <c r="D285" t="s">
        <v>275</v>
      </c>
      <c r="E285" t="s">
        <v>897</v>
      </c>
      <c r="F285" t="s">
        <v>898</v>
      </c>
      <c r="G285" s="6">
        <v>100</v>
      </c>
      <c r="H285" s="6">
        <f t="shared" si="4"/>
        <v>0</v>
      </c>
      <c r="I285">
        <v>100</v>
      </c>
      <c r="J285" t="s">
        <v>26</v>
      </c>
      <c r="K285" t="s">
        <v>35</v>
      </c>
    </row>
    <row r="286" spans="1:11" x14ac:dyDescent="0.25">
      <c r="A286" s="8">
        <v>46079</v>
      </c>
      <c r="B286" s="10">
        <v>0.36326388888888889</v>
      </c>
      <c r="C286" t="s">
        <v>950</v>
      </c>
      <c r="D286" t="s">
        <v>275</v>
      </c>
      <c r="E286" t="s">
        <v>951</v>
      </c>
      <c r="F286" t="s">
        <v>952</v>
      </c>
      <c r="G286" s="6">
        <v>100</v>
      </c>
      <c r="H286" s="6">
        <f t="shared" si="4"/>
        <v>0</v>
      </c>
      <c r="I286">
        <v>100</v>
      </c>
      <c r="J286" t="s">
        <v>26</v>
      </c>
      <c r="K286" t="s">
        <v>35</v>
      </c>
    </row>
    <row r="287" spans="1:11" x14ac:dyDescent="0.25">
      <c r="A287" s="8">
        <v>46079</v>
      </c>
      <c r="B287" s="10">
        <v>0.35499999999999998</v>
      </c>
      <c r="C287" t="s">
        <v>965</v>
      </c>
      <c r="D287" t="s">
        <v>275</v>
      </c>
      <c r="E287" t="s">
        <v>966</v>
      </c>
      <c r="F287" t="s">
        <v>967</v>
      </c>
      <c r="G287" s="6">
        <v>100</v>
      </c>
      <c r="H287" s="6">
        <f t="shared" si="4"/>
        <v>0</v>
      </c>
      <c r="I287">
        <v>100</v>
      </c>
      <c r="J287" t="s">
        <v>27</v>
      </c>
      <c r="K287" t="s">
        <v>35</v>
      </c>
    </row>
    <row r="288" spans="1:11" x14ac:dyDescent="0.25">
      <c r="A288" s="8">
        <v>46079</v>
      </c>
      <c r="B288" s="10">
        <v>0.3185763888888889</v>
      </c>
      <c r="C288" t="s">
        <v>992</v>
      </c>
      <c r="D288" t="s">
        <v>275</v>
      </c>
      <c r="E288" t="s">
        <v>993</v>
      </c>
      <c r="F288" t="s">
        <v>994</v>
      </c>
      <c r="G288" s="6">
        <v>100</v>
      </c>
      <c r="H288" s="6">
        <f t="shared" si="4"/>
        <v>0</v>
      </c>
      <c r="I288">
        <v>100</v>
      </c>
      <c r="J288" t="s">
        <v>27</v>
      </c>
      <c r="K288" t="s">
        <v>35</v>
      </c>
    </row>
    <row r="289" spans="1:11" x14ac:dyDescent="0.25">
      <c r="A289" s="8">
        <v>46079</v>
      </c>
      <c r="B289" s="10">
        <v>0.39468750000000002</v>
      </c>
      <c r="C289" t="s">
        <v>902</v>
      </c>
      <c r="D289" t="s">
        <v>275</v>
      </c>
      <c r="E289" t="s">
        <v>903</v>
      </c>
      <c r="F289" t="s">
        <v>904</v>
      </c>
      <c r="G289" s="6">
        <v>100.03</v>
      </c>
      <c r="H289" s="6">
        <f t="shared" si="4"/>
        <v>0</v>
      </c>
      <c r="I289">
        <v>100.03</v>
      </c>
      <c r="J289" t="s">
        <v>23</v>
      </c>
      <c r="K289" t="s">
        <v>35</v>
      </c>
    </row>
    <row r="290" spans="1:11" x14ac:dyDescent="0.25">
      <c r="A290" s="8">
        <v>46079</v>
      </c>
      <c r="B290" s="10">
        <v>0.66300925925925924</v>
      </c>
      <c r="C290" t="s">
        <v>569</v>
      </c>
      <c r="D290" t="s">
        <v>275</v>
      </c>
      <c r="E290" t="s">
        <v>570</v>
      </c>
      <c r="F290" t="s">
        <v>571</v>
      </c>
      <c r="G290" s="6">
        <v>115.79</v>
      </c>
      <c r="H290" s="6">
        <f t="shared" si="4"/>
        <v>0</v>
      </c>
      <c r="I290">
        <v>115.79</v>
      </c>
      <c r="J290" t="s">
        <v>23</v>
      </c>
      <c r="K290" t="s">
        <v>35</v>
      </c>
    </row>
    <row r="291" spans="1:11" x14ac:dyDescent="0.25">
      <c r="A291" s="8">
        <v>46079</v>
      </c>
      <c r="B291" s="10">
        <v>0.88969907407407411</v>
      </c>
      <c r="C291" t="s">
        <v>356</v>
      </c>
      <c r="D291" t="s">
        <v>275</v>
      </c>
      <c r="E291" t="s">
        <v>357</v>
      </c>
      <c r="F291" t="s">
        <v>358</v>
      </c>
      <c r="G291" s="6">
        <v>120.1</v>
      </c>
      <c r="H291" s="6">
        <f t="shared" si="4"/>
        <v>0</v>
      </c>
      <c r="I291">
        <v>120.1</v>
      </c>
      <c r="J291" t="s">
        <v>24</v>
      </c>
      <c r="K291" t="s">
        <v>35</v>
      </c>
    </row>
    <row r="292" spans="1:11" x14ac:dyDescent="0.25">
      <c r="A292" s="8">
        <v>46079</v>
      </c>
      <c r="B292" s="10">
        <v>0.41460648148148149</v>
      </c>
      <c r="C292" t="s">
        <v>854</v>
      </c>
      <c r="D292" t="s">
        <v>275</v>
      </c>
      <c r="E292" t="s">
        <v>855</v>
      </c>
      <c r="F292" t="s">
        <v>856</v>
      </c>
      <c r="G292" s="6">
        <v>150</v>
      </c>
      <c r="H292" s="6">
        <f t="shared" si="4"/>
        <v>0</v>
      </c>
      <c r="I292">
        <v>150</v>
      </c>
      <c r="J292" t="s">
        <v>22</v>
      </c>
      <c r="K292" t="s">
        <v>35</v>
      </c>
    </row>
    <row r="293" spans="1:11" x14ac:dyDescent="0.25">
      <c r="A293" s="8">
        <v>46079</v>
      </c>
      <c r="B293" s="10">
        <v>0.36901620370370369</v>
      </c>
      <c r="C293" t="s">
        <v>938</v>
      </c>
      <c r="D293" t="s">
        <v>275</v>
      </c>
      <c r="E293" t="s">
        <v>939</v>
      </c>
      <c r="F293" t="s">
        <v>940</v>
      </c>
      <c r="G293" s="6">
        <v>150</v>
      </c>
      <c r="H293" s="6">
        <f t="shared" si="4"/>
        <v>0</v>
      </c>
      <c r="I293">
        <v>150</v>
      </c>
      <c r="J293" t="s">
        <v>26</v>
      </c>
      <c r="K293" t="s">
        <v>35</v>
      </c>
    </row>
    <row r="294" spans="1:11" x14ac:dyDescent="0.25">
      <c r="A294" s="8">
        <v>46079</v>
      </c>
      <c r="B294" s="10">
        <v>0.22535879629629629</v>
      </c>
      <c r="C294" t="s">
        <v>1097</v>
      </c>
      <c r="D294" t="s">
        <v>275</v>
      </c>
      <c r="E294" t="s">
        <v>1098</v>
      </c>
      <c r="F294" t="s">
        <v>1099</v>
      </c>
      <c r="G294" s="6">
        <v>150</v>
      </c>
      <c r="H294" s="6">
        <f t="shared" si="4"/>
        <v>0</v>
      </c>
      <c r="I294">
        <v>150</v>
      </c>
      <c r="J294" t="s">
        <v>26</v>
      </c>
      <c r="K294" t="s">
        <v>35</v>
      </c>
    </row>
    <row r="295" spans="1:11" x14ac:dyDescent="0.25">
      <c r="A295" s="8">
        <v>46079</v>
      </c>
      <c r="B295" s="10">
        <v>0.46253472222222225</v>
      </c>
      <c r="C295" t="s">
        <v>791</v>
      </c>
      <c r="D295" t="s">
        <v>275</v>
      </c>
      <c r="E295" t="s">
        <v>792</v>
      </c>
      <c r="F295" t="s">
        <v>793</v>
      </c>
      <c r="G295" s="6">
        <v>185.5</v>
      </c>
      <c r="H295" s="6">
        <f t="shared" si="4"/>
        <v>0</v>
      </c>
      <c r="I295">
        <v>185.5</v>
      </c>
      <c r="J295" t="s">
        <v>32</v>
      </c>
      <c r="K295" t="s">
        <v>35</v>
      </c>
    </row>
    <row r="296" spans="1:11" x14ac:dyDescent="0.25">
      <c r="A296" s="8">
        <v>46079</v>
      </c>
      <c r="B296" s="10">
        <v>0.52579861111111115</v>
      </c>
      <c r="C296" t="s">
        <v>716</v>
      </c>
      <c r="D296" t="s">
        <v>275</v>
      </c>
      <c r="E296" t="s">
        <v>717</v>
      </c>
      <c r="F296" t="s">
        <v>718</v>
      </c>
      <c r="G296" s="6">
        <v>200</v>
      </c>
      <c r="H296" s="6">
        <f t="shared" si="4"/>
        <v>0</v>
      </c>
      <c r="I296">
        <v>200</v>
      </c>
      <c r="J296" t="s">
        <v>30</v>
      </c>
      <c r="K296" t="s">
        <v>35</v>
      </c>
    </row>
    <row r="297" spans="1:11" x14ac:dyDescent="0.25">
      <c r="A297" s="8">
        <v>46079</v>
      </c>
      <c r="B297" s="10">
        <v>0.56101851851851847</v>
      </c>
      <c r="C297" s="11" t="s">
        <v>683</v>
      </c>
      <c r="D297" t="s">
        <v>275</v>
      </c>
      <c r="E297" t="s">
        <v>684</v>
      </c>
      <c r="F297" t="s">
        <v>685</v>
      </c>
      <c r="G297" s="6">
        <v>239.36</v>
      </c>
      <c r="H297" s="6">
        <f t="shared" si="4"/>
        <v>0</v>
      </c>
      <c r="I297">
        <v>239.36</v>
      </c>
      <c r="J297" t="s">
        <v>23</v>
      </c>
      <c r="K297" t="s">
        <v>35</v>
      </c>
    </row>
    <row r="298" spans="1:11" x14ac:dyDescent="0.25">
      <c r="A298" s="8">
        <v>46079</v>
      </c>
      <c r="B298" s="10">
        <v>0.65446759259259257</v>
      </c>
      <c r="C298" t="s">
        <v>590</v>
      </c>
      <c r="D298" t="s">
        <v>275</v>
      </c>
      <c r="E298" t="s">
        <v>591</v>
      </c>
      <c r="F298" t="s">
        <v>592</v>
      </c>
      <c r="G298" s="6">
        <v>280.77</v>
      </c>
      <c r="H298" s="6">
        <f t="shared" si="4"/>
        <v>0</v>
      </c>
      <c r="I298">
        <v>280.77</v>
      </c>
      <c r="J298" t="s">
        <v>25</v>
      </c>
      <c r="K298" t="s">
        <v>35</v>
      </c>
    </row>
  </sheetData>
  <sortState xmlns:xlrd2="http://schemas.microsoft.com/office/spreadsheetml/2017/richdata2" ref="A2:G298">
    <sortCondition ref="G3:G298"/>
  </sortState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7BE48-EF8E-44CE-83AC-BF63B609FD70}">
  <dimension ref="A1:N32"/>
  <sheetViews>
    <sheetView workbookViewId="0">
      <selection activeCell="P18" sqref="P18"/>
    </sheetView>
  </sheetViews>
  <sheetFormatPr defaultRowHeight="15" x14ac:dyDescent="0.25"/>
  <sheetData>
    <row r="1" spans="1:14" x14ac:dyDescent="0.25">
      <c r="A1" t="s">
        <v>89</v>
      </c>
      <c r="B1" t="s">
        <v>90</v>
      </c>
      <c r="C1" t="s">
        <v>91</v>
      </c>
      <c r="D1" t="s">
        <v>78</v>
      </c>
      <c r="E1" t="s">
        <v>79</v>
      </c>
      <c r="F1" t="s">
        <v>82</v>
      </c>
      <c r="G1" t="s">
        <v>81</v>
      </c>
      <c r="H1" t="s">
        <v>88</v>
      </c>
      <c r="I1" t="s">
        <v>64</v>
      </c>
      <c r="J1" t="s">
        <v>84</v>
      </c>
      <c r="L1" t="s">
        <v>57</v>
      </c>
      <c r="M1" t="s">
        <v>1</v>
      </c>
      <c r="N1" t="s">
        <v>33</v>
      </c>
    </row>
    <row r="2" spans="1:14" x14ac:dyDescent="0.25">
      <c r="A2" t="s">
        <v>160</v>
      </c>
      <c r="B2" t="s">
        <v>161</v>
      </c>
      <c r="C2" t="s">
        <v>162</v>
      </c>
      <c r="D2" s="8">
        <v>46079</v>
      </c>
      <c r="E2" s="9">
        <v>0.90625</v>
      </c>
      <c r="F2" t="s">
        <v>92</v>
      </c>
      <c r="G2" t="s">
        <v>92</v>
      </c>
      <c r="H2">
        <v>55863</v>
      </c>
      <c r="J2" s="6">
        <v>10</v>
      </c>
      <c r="K2" s="6">
        <f>J2-L2</f>
        <v>0</v>
      </c>
      <c r="L2">
        <v>10</v>
      </c>
      <c r="M2" t="s">
        <v>24</v>
      </c>
      <c r="N2" t="s">
        <v>43</v>
      </c>
    </row>
    <row r="3" spans="1:14" x14ac:dyDescent="0.25">
      <c r="A3" t="s">
        <v>127</v>
      </c>
      <c r="B3" t="s">
        <v>128</v>
      </c>
      <c r="C3" t="s">
        <v>98</v>
      </c>
      <c r="D3" s="8">
        <v>46079</v>
      </c>
      <c r="E3" s="9">
        <v>0.79166666666666663</v>
      </c>
      <c r="F3" t="s">
        <v>92</v>
      </c>
      <c r="G3" t="s">
        <v>92</v>
      </c>
      <c r="H3">
        <v>2123543</v>
      </c>
      <c r="J3" s="6">
        <v>16</v>
      </c>
      <c r="K3" s="6">
        <f t="shared" ref="K3:K25" si="0">J3-L3</f>
        <v>0</v>
      </c>
      <c r="L3">
        <v>16</v>
      </c>
      <c r="M3" t="s">
        <v>24</v>
      </c>
      <c r="N3" t="s">
        <v>43</v>
      </c>
    </row>
    <row r="4" spans="1:14" x14ac:dyDescent="0.25">
      <c r="A4" t="s">
        <v>129</v>
      </c>
      <c r="B4" t="s">
        <v>130</v>
      </c>
      <c r="C4" t="s">
        <v>131</v>
      </c>
      <c r="D4" s="8">
        <v>46079</v>
      </c>
      <c r="E4" s="9">
        <v>0.79583333333333328</v>
      </c>
      <c r="F4" t="s">
        <v>92</v>
      </c>
      <c r="G4" t="s">
        <v>92</v>
      </c>
      <c r="H4">
        <v>2143512</v>
      </c>
      <c r="J4" s="6">
        <v>17.21</v>
      </c>
      <c r="K4" s="6">
        <f t="shared" si="0"/>
        <v>0</v>
      </c>
      <c r="L4">
        <v>17.21</v>
      </c>
      <c r="M4" t="s">
        <v>29</v>
      </c>
      <c r="N4" t="s">
        <v>43</v>
      </c>
    </row>
    <row r="5" spans="1:14" x14ac:dyDescent="0.25">
      <c r="A5" t="s">
        <v>93</v>
      </c>
      <c r="B5" t="s">
        <v>94</v>
      </c>
      <c r="C5" t="s">
        <v>95</v>
      </c>
      <c r="D5" s="8">
        <v>46079</v>
      </c>
      <c r="E5" s="9">
        <v>0.33611111111111114</v>
      </c>
      <c r="F5" t="s">
        <v>92</v>
      </c>
      <c r="G5" t="s">
        <v>92</v>
      </c>
      <c r="H5">
        <v>338032</v>
      </c>
      <c r="J5" s="6">
        <v>20</v>
      </c>
      <c r="K5" s="6">
        <f t="shared" si="0"/>
        <v>0</v>
      </c>
      <c r="L5">
        <v>20</v>
      </c>
      <c r="M5" t="s">
        <v>24</v>
      </c>
      <c r="N5" t="s">
        <v>43</v>
      </c>
    </row>
    <row r="6" spans="1:14" x14ac:dyDescent="0.25">
      <c r="A6" t="s">
        <v>99</v>
      </c>
      <c r="B6" t="s">
        <v>100</v>
      </c>
      <c r="C6" t="s">
        <v>101</v>
      </c>
      <c r="D6" s="8">
        <v>46079</v>
      </c>
      <c r="E6" s="9">
        <v>0.34027777777777779</v>
      </c>
      <c r="F6" t="s">
        <v>92</v>
      </c>
      <c r="G6" t="s">
        <v>92</v>
      </c>
      <c r="H6">
        <v>348500</v>
      </c>
      <c r="J6" s="6">
        <v>20</v>
      </c>
      <c r="K6" s="6">
        <f t="shared" si="0"/>
        <v>0</v>
      </c>
      <c r="L6">
        <v>20</v>
      </c>
      <c r="M6" t="s">
        <v>24</v>
      </c>
      <c r="N6" t="s">
        <v>43</v>
      </c>
    </row>
    <row r="7" spans="1:14" x14ac:dyDescent="0.25">
      <c r="A7" t="s">
        <v>109</v>
      </c>
      <c r="B7" t="s">
        <v>110</v>
      </c>
      <c r="C7" t="s">
        <v>101</v>
      </c>
      <c r="D7" s="8">
        <v>46079</v>
      </c>
      <c r="E7" s="9">
        <v>0.77430555555555558</v>
      </c>
      <c r="F7" t="s">
        <v>92</v>
      </c>
      <c r="G7" t="s">
        <v>92</v>
      </c>
      <c r="H7">
        <v>2013878</v>
      </c>
      <c r="J7" s="6">
        <v>20</v>
      </c>
      <c r="K7" s="6">
        <f t="shared" si="0"/>
        <v>0</v>
      </c>
      <c r="L7">
        <v>20</v>
      </c>
      <c r="M7" t="s">
        <v>24</v>
      </c>
      <c r="N7" t="s">
        <v>43</v>
      </c>
    </row>
    <row r="8" spans="1:14" x14ac:dyDescent="0.25">
      <c r="A8" t="s">
        <v>149</v>
      </c>
      <c r="B8" t="s">
        <v>150</v>
      </c>
      <c r="C8" t="s">
        <v>98</v>
      </c>
      <c r="D8" s="8">
        <v>46079</v>
      </c>
      <c r="E8" s="9">
        <v>0.84791666666666665</v>
      </c>
      <c r="F8" t="s">
        <v>92</v>
      </c>
      <c r="G8" t="s">
        <v>92</v>
      </c>
      <c r="H8">
        <v>2325637</v>
      </c>
      <c r="J8" s="6">
        <v>20</v>
      </c>
      <c r="K8" s="6">
        <f t="shared" si="0"/>
        <v>0</v>
      </c>
      <c r="L8">
        <v>20</v>
      </c>
      <c r="M8" t="s">
        <v>26</v>
      </c>
      <c r="N8" t="s">
        <v>43</v>
      </c>
    </row>
    <row r="9" spans="1:14" x14ac:dyDescent="0.25">
      <c r="A9" t="s">
        <v>151</v>
      </c>
      <c r="B9" t="s">
        <v>152</v>
      </c>
      <c r="C9" t="s">
        <v>98</v>
      </c>
      <c r="D9" s="8">
        <v>46079</v>
      </c>
      <c r="E9" s="9">
        <v>0.8569444444444444</v>
      </c>
      <c r="F9" t="s">
        <v>92</v>
      </c>
      <c r="G9" t="s">
        <v>92</v>
      </c>
      <c r="H9">
        <v>2347342</v>
      </c>
      <c r="J9" s="6">
        <v>20</v>
      </c>
      <c r="K9" s="6">
        <f t="shared" si="0"/>
        <v>0</v>
      </c>
      <c r="L9">
        <v>20</v>
      </c>
      <c r="M9" t="s">
        <v>27</v>
      </c>
      <c r="N9" t="s">
        <v>43</v>
      </c>
    </row>
    <row r="10" spans="1:14" x14ac:dyDescent="0.25">
      <c r="A10" t="s">
        <v>153</v>
      </c>
      <c r="B10" t="s">
        <v>154</v>
      </c>
      <c r="C10" t="s">
        <v>98</v>
      </c>
      <c r="D10" s="8">
        <v>46079</v>
      </c>
      <c r="E10" s="9">
        <v>0.86458333333333337</v>
      </c>
      <c r="F10" t="s">
        <v>92</v>
      </c>
      <c r="G10" t="s">
        <v>92</v>
      </c>
      <c r="H10">
        <v>2366181</v>
      </c>
      <c r="J10" s="6">
        <v>20</v>
      </c>
      <c r="K10" s="6">
        <f t="shared" si="0"/>
        <v>0</v>
      </c>
      <c r="L10">
        <v>20</v>
      </c>
      <c r="M10" t="s">
        <v>28</v>
      </c>
      <c r="N10" t="s">
        <v>43</v>
      </c>
    </row>
    <row r="11" spans="1:14" x14ac:dyDescent="0.25">
      <c r="A11" t="s">
        <v>107</v>
      </c>
      <c r="B11" t="s">
        <v>108</v>
      </c>
      <c r="C11" t="s">
        <v>104</v>
      </c>
      <c r="D11" s="8">
        <v>46079</v>
      </c>
      <c r="E11" s="9">
        <v>0.34583333333333333</v>
      </c>
      <c r="F11" t="s">
        <v>92</v>
      </c>
      <c r="G11" t="s">
        <v>92</v>
      </c>
      <c r="H11">
        <v>365202</v>
      </c>
      <c r="J11" s="6">
        <v>29.84</v>
      </c>
      <c r="K11" s="6">
        <f t="shared" si="0"/>
        <v>0</v>
      </c>
      <c r="L11">
        <v>29.84</v>
      </c>
      <c r="M11" t="s">
        <v>27</v>
      </c>
      <c r="N11" t="s">
        <v>43</v>
      </c>
    </row>
    <row r="12" spans="1:14" x14ac:dyDescent="0.25">
      <c r="A12" t="s">
        <v>111</v>
      </c>
      <c r="B12" t="s">
        <v>112</v>
      </c>
      <c r="C12" t="s">
        <v>113</v>
      </c>
      <c r="D12" s="8">
        <v>46079</v>
      </c>
      <c r="E12" s="9">
        <v>0.77986111111111112</v>
      </c>
      <c r="F12" t="s">
        <v>92</v>
      </c>
      <c r="G12" t="s">
        <v>92</v>
      </c>
      <c r="H12">
        <v>2046592</v>
      </c>
      <c r="J12" s="6">
        <v>30</v>
      </c>
      <c r="K12" s="6">
        <f t="shared" si="0"/>
        <v>0</v>
      </c>
      <c r="L12">
        <v>30</v>
      </c>
      <c r="M12" t="s">
        <v>24</v>
      </c>
      <c r="N12" t="s">
        <v>43</v>
      </c>
    </row>
    <row r="13" spans="1:14" x14ac:dyDescent="0.25">
      <c r="A13" t="s">
        <v>116</v>
      </c>
      <c r="B13" t="s">
        <v>117</v>
      </c>
      <c r="C13" t="s">
        <v>113</v>
      </c>
      <c r="D13" s="8">
        <v>46079</v>
      </c>
      <c r="E13" s="9">
        <v>0.78194444444444444</v>
      </c>
      <c r="F13" t="s">
        <v>92</v>
      </c>
      <c r="G13" t="s">
        <v>92</v>
      </c>
      <c r="H13">
        <v>2063751</v>
      </c>
      <c r="J13" s="6">
        <v>30</v>
      </c>
      <c r="K13" s="6">
        <f t="shared" si="0"/>
        <v>0</v>
      </c>
      <c r="L13">
        <v>30</v>
      </c>
      <c r="M13" t="s">
        <v>24</v>
      </c>
      <c r="N13" t="s">
        <v>43</v>
      </c>
    </row>
    <row r="14" spans="1:14" x14ac:dyDescent="0.25">
      <c r="A14" t="s">
        <v>123</v>
      </c>
      <c r="B14" t="s">
        <v>124</v>
      </c>
      <c r="C14" t="s">
        <v>98</v>
      </c>
      <c r="D14" s="8">
        <v>46079</v>
      </c>
      <c r="E14" s="9">
        <v>0.78888888888888886</v>
      </c>
      <c r="F14" t="s">
        <v>92</v>
      </c>
      <c r="G14" t="s">
        <v>92</v>
      </c>
      <c r="H14">
        <v>2104445</v>
      </c>
      <c r="J14" s="6">
        <v>30</v>
      </c>
      <c r="K14" s="6">
        <f t="shared" si="0"/>
        <v>0</v>
      </c>
      <c r="L14">
        <v>30</v>
      </c>
      <c r="M14" t="s">
        <v>24</v>
      </c>
      <c r="N14" t="s">
        <v>43</v>
      </c>
    </row>
    <row r="15" spans="1:14" x14ac:dyDescent="0.25">
      <c r="A15" t="s">
        <v>141</v>
      </c>
      <c r="B15" t="s">
        <v>142</v>
      </c>
      <c r="C15" t="s">
        <v>98</v>
      </c>
      <c r="D15" s="8">
        <v>46079</v>
      </c>
      <c r="E15" s="9">
        <v>0.81736111111111109</v>
      </c>
      <c r="F15" t="s">
        <v>92</v>
      </c>
      <c r="G15" t="s">
        <v>92</v>
      </c>
      <c r="H15">
        <v>2232782</v>
      </c>
      <c r="J15" s="6">
        <v>30</v>
      </c>
      <c r="K15" s="6">
        <f t="shared" si="0"/>
        <v>0</v>
      </c>
      <c r="L15">
        <v>30</v>
      </c>
      <c r="M15" t="s">
        <v>28</v>
      </c>
      <c r="N15" t="s">
        <v>43</v>
      </c>
    </row>
    <row r="16" spans="1:14" x14ac:dyDescent="0.25">
      <c r="A16" t="s">
        <v>143</v>
      </c>
      <c r="B16" t="s">
        <v>144</v>
      </c>
      <c r="C16" t="s">
        <v>95</v>
      </c>
      <c r="D16" s="8">
        <v>46079</v>
      </c>
      <c r="E16" s="9">
        <v>0.83819444444444446</v>
      </c>
      <c r="F16" t="s">
        <v>92</v>
      </c>
      <c r="G16" t="s">
        <v>92</v>
      </c>
      <c r="H16">
        <v>2298133</v>
      </c>
      <c r="J16" s="6">
        <v>30</v>
      </c>
      <c r="K16" s="6">
        <f t="shared" si="0"/>
        <v>0</v>
      </c>
      <c r="L16">
        <v>30</v>
      </c>
      <c r="M16" t="s">
        <v>28</v>
      </c>
      <c r="N16" t="s">
        <v>43</v>
      </c>
    </row>
    <row r="17" spans="1:14" x14ac:dyDescent="0.25">
      <c r="A17" t="s">
        <v>145</v>
      </c>
      <c r="B17" t="s">
        <v>146</v>
      </c>
      <c r="C17" t="s">
        <v>101</v>
      </c>
      <c r="D17" s="8">
        <v>46079</v>
      </c>
      <c r="E17" s="9">
        <v>0.83958333333333335</v>
      </c>
      <c r="F17" t="s">
        <v>92</v>
      </c>
      <c r="G17" t="s">
        <v>92</v>
      </c>
      <c r="H17">
        <v>2302351</v>
      </c>
      <c r="J17" s="6">
        <v>30</v>
      </c>
      <c r="K17" s="6">
        <f t="shared" si="0"/>
        <v>0</v>
      </c>
      <c r="L17">
        <v>30</v>
      </c>
      <c r="M17" t="s">
        <v>29</v>
      </c>
      <c r="N17" t="s">
        <v>43</v>
      </c>
    </row>
    <row r="18" spans="1:14" x14ac:dyDescent="0.25">
      <c r="A18" t="s">
        <v>157</v>
      </c>
      <c r="B18" t="s">
        <v>158</v>
      </c>
      <c r="C18" t="s">
        <v>159</v>
      </c>
      <c r="D18" s="8">
        <v>46079</v>
      </c>
      <c r="E18" s="9">
        <v>0.8666666666666667</v>
      </c>
      <c r="F18" t="s">
        <v>92</v>
      </c>
      <c r="G18" t="s">
        <v>92</v>
      </c>
      <c r="H18">
        <v>2369942</v>
      </c>
      <c r="J18" s="6">
        <v>30</v>
      </c>
      <c r="K18" s="6">
        <f t="shared" si="0"/>
        <v>0</v>
      </c>
      <c r="L18">
        <v>30</v>
      </c>
      <c r="M18" t="s">
        <v>30</v>
      </c>
      <c r="N18" t="s">
        <v>43</v>
      </c>
    </row>
    <row r="19" spans="1:14" x14ac:dyDescent="0.25">
      <c r="A19" t="s">
        <v>139</v>
      </c>
      <c r="B19" t="s">
        <v>140</v>
      </c>
      <c r="C19" t="s">
        <v>98</v>
      </c>
      <c r="D19" s="8">
        <v>46079</v>
      </c>
      <c r="E19" s="9">
        <v>0.80555555555555558</v>
      </c>
      <c r="F19" t="s">
        <v>92</v>
      </c>
      <c r="G19" t="s">
        <v>92</v>
      </c>
      <c r="H19">
        <v>2188444</v>
      </c>
      <c r="J19" s="6">
        <v>30.38</v>
      </c>
      <c r="K19" s="6">
        <f t="shared" si="0"/>
        <v>0</v>
      </c>
      <c r="L19">
        <v>30.38</v>
      </c>
      <c r="M19" t="s">
        <v>24</v>
      </c>
      <c r="N19" t="s">
        <v>43</v>
      </c>
    </row>
    <row r="20" spans="1:14" x14ac:dyDescent="0.25">
      <c r="A20" t="s">
        <v>155</v>
      </c>
      <c r="B20" t="s">
        <v>156</v>
      </c>
      <c r="C20" t="s">
        <v>98</v>
      </c>
      <c r="D20" s="8">
        <v>46079</v>
      </c>
      <c r="E20" s="9">
        <v>0.86527777777777781</v>
      </c>
      <c r="F20" t="s">
        <v>92</v>
      </c>
      <c r="G20" t="s">
        <v>92</v>
      </c>
      <c r="H20">
        <v>2366955</v>
      </c>
      <c r="J20" s="6">
        <v>31</v>
      </c>
      <c r="K20" s="6">
        <f t="shared" si="0"/>
        <v>0</v>
      </c>
      <c r="L20">
        <v>31</v>
      </c>
      <c r="M20" t="s">
        <v>28</v>
      </c>
      <c r="N20" t="s">
        <v>43</v>
      </c>
    </row>
    <row r="21" spans="1:14" x14ac:dyDescent="0.25">
      <c r="A21" t="s">
        <v>163</v>
      </c>
      <c r="B21" t="s">
        <v>164</v>
      </c>
      <c r="C21" t="s">
        <v>165</v>
      </c>
      <c r="D21" s="8">
        <v>46079</v>
      </c>
      <c r="E21" s="9">
        <v>0.91666666666666663</v>
      </c>
      <c r="F21" t="s">
        <v>92</v>
      </c>
      <c r="G21" t="s">
        <v>92</v>
      </c>
      <c r="H21">
        <v>70806</v>
      </c>
      <c r="J21" s="6">
        <v>33</v>
      </c>
      <c r="K21" s="6">
        <f t="shared" si="0"/>
        <v>-0.10000000000000142</v>
      </c>
      <c r="L21">
        <v>33.1</v>
      </c>
      <c r="M21" t="s">
        <v>24</v>
      </c>
      <c r="N21" t="s">
        <v>43</v>
      </c>
    </row>
    <row r="22" spans="1:14" x14ac:dyDescent="0.25">
      <c r="A22" t="s">
        <v>121</v>
      </c>
      <c r="B22" t="s">
        <v>122</v>
      </c>
      <c r="C22" t="s">
        <v>98</v>
      </c>
      <c r="D22" s="8">
        <v>46079</v>
      </c>
      <c r="E22" s="9">
        <v>0.78819444444444442</v>
      </c>
      <c r="F22" t="s">
        <v>92</v>
      </c>
      <c r="G22" t="s">
        <v>92</v>
      </c>
      <c r="H22">
        <v>2100503</v>
      </c>
      <c r="J22" s="6">
        <v>34.68</v>
      </c>
      <c r="K22" s="6">
        <f t="shared" si="0"/>
        <v>-5.32</v>
      </c>
      <c r="L22">
        <v>40</v>
      </c>
      <c r="M22" t="s">
        <v>29</v>
      </c>
      <c r="N22" t="s">
        <v>43</v>
      </c>
    </row>
    <row r="23" spans="1:14" x14ac:dyDescent="0.25">
      <c r="A23" t="s">
        <v>105</v>
      </c>
      <c r="B23" t="s">
        <v>106</v>
      </c>
      <c r="C23" t="s">
        <v>98</v>
      </c>
      <c r="D23" s="8">
        <v>46079</v>
      </c>
      <c r="E23" s="9">
        <v>0.34375</v>
      </c>
      <c r="F23" t="s">
        <v>92</v>
      </c>
      <c r="G23" t="s">
        <v>92</v>
      </c>
      <c r="H23">
        <v>359110</v>
      </c>
      <c r="J23" s="6">
        <v>34.78</v>
      </c>
      <c r="K23" s="6">
        <f t="shared" si="0"/>
        <v>0</v>
      </c>
      <c r="L23">
        <v>34.78</v>
      </c>
      <c r="M23" t="s">
        <v>27</v>
      </c>
      <c r="N23" t="s">
        <v>43</v>
      </c>
    </row>
    <row r="24" spans="1:14" x14ac:dyDescent="0.25">
      <c r="A24" t="s">
        <v>96</v>
      </c>
      <c r="B24" t="s">
        <v>97</v>
      </c>
      <c r="C24" t="s">
        <v>98</v>
      </c>
      <c r="D24" s="8">
        <v>46079</v>
      </c>
      <c r="E24" s="9">
        <v>0.33888888888888891</v>
      </c>
      <c r="F24" t="s">
        <v>92</v>
      </c>
      <c r="G24" t="s">
        <v>92</v>
      </c>
      <c r="H24">
        <v>345038</v>
      </c>
      <c r="J24" s="6">
        <v>36.32</v>
      </c>
      <c r="K24" s="6">
        <f t="shared" si="0"/>
        <v>0</v>
      </c>
      <c r="L24">
        <v>36.32</v>
      </c>
      <c r="M24" t="s">
        <v>23</v>
      </c>
      <c r="N24" t="s">
        <v>43</v>
      </c>
    </row>
    <row r="25" spans="1:14" x14ac:dyDescent="0.25">
      <c r="A25" t="s">
        <v>132</v>
      </c>
      <c r="B25" t="s">
        <v>133</v>
      </c>
      <c r="C25" t="s">
        <v>134</v>
      </c>
      <c r="D25" s="8">
        <v>46079</v>
      </c>
      <c r="E25" s="9">
        <v>0.7993055555555556</v>
      </c>
      <c r="F25" t="s">
        <v>92</v>
      </c>
      <c r="G25" t="s">
        <v>92</v>
      </c>
      <c r="H25">
        <v>2160722</v>
      </c>
      <c r="J25" s="6">
        <v>37.32</v>
      </c>
      <c r="K25" s="6">
        <f t="shared" si="0"/>
        <v>0</v>
      </c>
      <c r="L25">
        <v>37.32</v>
      </c>
      <c r="M25" t="s">
        <v>29</v>
      </c>
      <c r="N25" t="s">
        <v>43</v>
      </c>
    </row>
    <row r="26" spans="1:14" x14ac:dyDescent="0.25">
      <c r="A26" t="s">
        <v>118</v>
      </c>
      <c r="B26" t="s">
        <v>119</v>
      </c>
      <c r="C26" t="s">
        <v>120</v>
      </c>
      <c r="D26" s="8">
        <v>46079</v>
      </c>
      <c r="E26" s="9">
        <v>0.78263888888888888</v>
      </c>
      <c r="F26" t="s">
        <v>92</v>
      </c>
      <c r="G26" t="s">
        <v>92</v>
      </c>
      <c r="H26">
        <v>2065677</v>
      </c>
      <c r="J26" s="6">
        <v>40</v>
      </c>
      <c r="K26" s="6">
        <f t="shared" ref="K26:K32" si="1">J26-L26</f>
        <v>0</v>
      </c>
      <c r="L26">
        <v>40</v>
      </c>
      <c r="M26" t="s">
        <v>29</v>
      </c>
      <c r="N26" t="s">
        <v>43</v>
      </c>
    </row>
    <row r="27" spans="1:14" x14ac:dyDescent="0.25">
      <c r="A27" t="s">
        <v>137</v>
      </c>
      <c r="B27" t="s">
        <v>138</v>
      </c>
      <c r="C27" t="s">
        <v>101</v>
      </c>
      <c r="D27" s="8">
        <v>46079</v>
      </c>
      <c r="E27" s="9">
        <v>0.80277777777777781</v>
      </c>
      <c r="F27" t="s">
        <v>92</v>
      </c>
      <c r="G27" t="s">
        <v>92</v>
      </c>
      <c r="H27">
        <v>2177630</v>
      </c>
      <c r="J27" s="6">
        <v>48.75</v>
      </c>
      <c r="K27" s="6">
        <f t="shared" si="1"/>
        <v>0</v>
      </c>
      <c r="L27">
        <v>48.75</v>
      </c>
      <c r="M27" t="s">
        <v>29</v>
      </c>
      <c r="N27" t="s">
        <v>43</v>
      </c>
    </row>
    <row r="28" spans="1:14" x14ac:dyDescent="0.25">
      <c r="A28" t="s">
        <v>125</v>
      </c>
      <c r="B28" t="s">
        <v>126</v>
      </c>
      <c r="C28" t="s">
        <v>120</v>
      </c>
      <c r="D28" s="8">
        <v>46079</v>
      </c>
      <c r="E28" s="9">
        <v>0.78888888888888886</v>
      </c>
      <c r="F28" t="s">
        <v>92</v>
      </c>
      <c r="G28" t="s">
        <v>92</v>
      </c>
      <c r="H28">
        <v>2107638</v>
      </c>
      <c r="J28" s="6">
        <v>53.99</v>
      </c>
      <c r="K28" s="6">
        <f t="shared" si="1"/>
        <v>0</v>
      </c>
      <c r="L28">
        <v>53.99</v>
      </c>
      <c r="M28" t="s">
        <v>28</v>
      </c>
      <c r="N28" t="s">
        <v>43</v>
      </c>
    </row>
    <row r="29" spans="1:14" x14ac:dyDescent="0.25">
      <c r="A29" t="s">
        <v>135</v>
      </c>
      <c r="B29" t="s">
        <v>136</v>
      </c>
      <c r="C29" t="s">
        <v>120</v>
      </c>
      <c r="D29" s="8">
        <v>46079</v>
      </c>
      <c r="E29" s="9">
        <v>0.80069444444444449</v>
      </c>
      <c r="F29" t="s">
        <v>92</v>
      </c>
      <c r="G29" t="s">
        <v>92</v>
      </c>
      <c r="H29">
        <v>2170686</v>
      </c>
      <c r="J29" s="6">
        <v>63.57</v>
      </c>
      <c r="K29" s="6">
        <f t="shared" si="1"/>
        <v>0</v>
      </c>
      <c r="L29">
        <v>63.57</v>
      </c>
      <c r="M29" t="s">
        <v>29</v>
      </c>
      <c r="N29" t="s">
        <v>43</v>
      </c>
    </row>
    <row r="30" spans="1:14" x14ac:dyDescent="0.25">
      <c r="A30" t="s">
        <v>102</v>
      </c>
      <c r="B30" t="s">
        <v>103</v>
      </c>
      <c r="C30" t="s">
        <v>104</v>
      </c>
      <c r="D30" s="8">
        <v>46079</v>
      </c>
      <c r="E30" s="9">
        <v>0.34027777777777779</v>
      </c>
      <c r="F30" t="s">
        <v>92</v>
      </c>
      <c r="G30" t="s">
        <v>92</v>
      </c>
      <c r="H30">
        <v>349522</v>
      </c>
      <c r="J30" s="6">
        <v>72.05</v>
      </c>
      <c r="K30" s="6">
        <f t="shared" si="1"/>
        <v>0</v>
      </c>
      <c r="L30">
        <v>72.05</v>
      </c>
      <c r="M30" t="s">
        <v>25</v>
      </c>
      <c r="N30" t="s">
        <v>43</v>
      </c>
    </row>
    <row r="31" spans="1:14" x14ac:dyDescent="0.25">
      <c r="A31" t="s">
        <v>114</v>
      </c>
      <c r="B31" t="s">
        <v>115</v>
      </c>
      <c r="C31" t="s">
        <v>113</v>
      </c>
      <c r="D31" s="8">
        <v>46079</v>
      </c>
      <c r="E31" s="9">
        <v>0.78125</v>
      </c>
      <c r="F31" t="s">
        <v>92</v>
      </c>
      <c r="G31" t="s">
        <v>92</v>
      </c>
      <c r="H31">
        <v>2059227</v>
      </c>
      <c r="J31" s="6">
        <v>100</v>
      </c>
      <c r="K31" s="6">
        <f t="shared" si="1"/>
        <v>0</v>
      </c>
      <c r="L31">
        <v>100</v>
      </c>
      <c r="M31" t="s">
        <v>24</v>
      </c>
      <c r="N31" t="s">
        <v>43</v>
      </c>
    </row>
    <row r="32" spans="1:14" x14ac:dyDescent="0.25">
      <c r="A32" t="s">
        <v>147</v>
      </c>
      <c r="B32" t="s">
        <v>148</v>
      </c>
      <c r="C32" t="s">
        <v>98</v>
      </c>
      <c r="D32" s="8">
        <v>46079</v>
      </c>
      <c r="E32" s="9">
        <v>0.84444444444444444</v>
      </c>
      <c r="F32" t="s">
        <v>92</v>
      </c>
      <c r="G32" t="s">
        <v>92</v>
      </c>
      <c r="H32">
        <v>2316484</v>
      </c>
      <c r="J32" s="6">
        <v>100</v>
      </c>
      <c r="K32" s="6">
        <f t="shared" si="1"/>
        <v>0</v>
      </c>
      <c r="L32">
        <v>100</v>
      </c>
      <c r="M32" t="s">
        <v>28</v>
      </c>
      <c r="N32" t="s">
        <v>43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671B6-D812-4556-A37D-04A06959F674}">
  <sheetPr filterMode="1"/>
  <dimension ref="A1:J514"/>
  <sheetViews>
    <sheetView workbookViewId="0">
      <selection activeCell="J1" sqref="A1:J460"/>
    </sheetView>
  </sheetViews>
  <sheetFormatPr defaultRowHeight="15" x14ac:dyDescent="0.25"/>
  <sheetData>
    <row r="1" spans="1:10" x14ac:dyDescent="0.25">
      <c r="A1" t="s">
        <v>89</v>
      </c>
      <c r="B1" t="s">
        <v>90</v>
      </c>
      <c r="C1" t="s">
        <v>91</v>
      </c>
      <c r="D1" t="s">
        <v>78</v>
      </c>
      <c r="E1" t="s">
        <v>79</v>
      </c>
      <c r="F1" t="s">
        <v>82</v>
      </c>
      <c r="G1" t="s">
        <v>81</v>
      </c>
      <c r="H1" t="s">
        <v>88</v>
      </c>
      <c r="I1" t="s">
        <v>64</v>
      </c>
      <c r="J1" t="s">
        <v>84</v>
      </c>
    </row>
    <row r="2" spans="1:10" hidden="1" x14ac:dyDescent="0.25">
      <c r="D2" s="8">
        <v>46079</v>
      </c>
      <c r="E2" s="9">
        <v>0.33611111111111114</v>
      </c>
      <c r="F2" t="s">
        <v>184</v>
      </c>
      <c r="G2" t="s">
        <v>87</v>
      </c>
      <c r="H2">
        <v>877582</v>
      </c>
      <c r="I2" t="s">
        <v>189</v>
      </c>
      <c r="J2" s="6">
        <v>3.45</v>
      </c>
    </row>
    <row r="3" spans="1:10" hidden="1" x14ac:dyDescent="0.25">
      <c r="D3" s="8">
        <v>46079</v>
      </c>
      <c r="E3" s="9">
        <v>0.29652777777777778</v>
      </c>
      <c r="F3" t="s">
        <v>199</v>
      </c>
      <c r="G3" t="s">
        <v>87</v>
      </c>
      <c r="H3">
        <v>371056</v>
      </c>
      <c r="I3">
        <v>578131</v>
      </c>
      <c r="J3" s="6">
        <v>5</v>
      </c>
    </row>
    <row r="4" spans="1:10" hidden="1" x14ac:dyDescent="0.25">
      <c r="D4" s="8">
        <v>46079</v>
      </c>
      <c r="E4" s="9">
        <v>2.5694444444444443E-2</v>
      </c>
      <c r="F4" t="s">
        <v>184</v>
      </c>
      <c r="G4" t="s">
        <v>167</v>
      </c>
      <c r="H4">
        <v>374093</v>
      </c>
      <c r="I4">
        <v>238456</v>
      </c>
      <c r="J4" s="6">
        <v>5</v>
      </c>
    </row>
    <row r="5" spans="1:10" hidden="1" x14ac:dyDescent="0.25">
      <c r="D5" s="8">
        <v>46079</v>
      </c>
      <c r="E5" s="9">
        <v>0.95625000000000004</v>
      </c>
      <c r="F5" t="s">
        <v>184</v>
      </c>
      <c r="G5" t="s">
        <v>87</v>
      </c>
      <c r="H5">
        <v>610833</v>
      </c>
      <c r="I5" t="s">
        <v>233</v>
      </c>
      <c r="J5" s="6">
        <v>5</v>
      </c>
    </row>
    <row r="6" spans="1:10" hidden="1" x14ac:dyDescent="0.25">
      <c r="D6" s="8">
        <v>46079</v>
      </c>
      <c r="E6" s="9">
        <v>0.60763888888888884</v>
      </c>
      <c r="F6" t="s">
        <v>184</v>
      </c>
      <c r="G6" t="s">
        <v>236</v>
      </c>
      <c r="H6">
        <v>754135</v>
      </c>
      <c r="I6">
        <v>444308</v>
      </c>
      <c r="J6" s="6">
        <v>6.2</v>
      </c>
    </row>
    <row r="7" spans="1:10" hidden="1" x14ac:dyDescent="0.25">
      <c r="D7" s="8">
        <v>46079</v>
      </c>
      <c r="E7" s="9">
        <v>0.11805555555555555</v>
      </c>
      <c r="F7" t="s">
        <v>184</v>
      </c>
      <c r="G7" t="s">
        <v>167</v>
      </c>
      <c r="H7">
        <v>374122</v>
      </c>
      <c r="I7">
        <v>470026</v>
      </c>
      <c r="J7" s="6">
        <v>6.45</v>
      </c>
    </row>
    <row r="8" spans="1:10" hidden="1" x14ac:dyDescent="0.25">
      <c r="D8" s="8">
        <v>46079</v>
      </c>
      <c r="E8" s="9">
        <v>0.28958333333333336</v>
      </c>
      <c r="F8" t="s">
        <v>166</v>
      </c>
      <c r="G8" t="s">
        <v>167</v>
      </c>
      <c r="H8">
        <v>754037</v>
      </c>
      <c r="I8" t="s">
        <v>175</v>
      </c>
      <c r="J8" s="6">
        <v>7</v>
      </c>
    </row>
    <row r="9" spans="1:10" hidden="1" x14ac:dyDescent="0.25">
      <c r="D9" s="8">
        <v>46079</v>
      </c>
      <c r="E9" s="9">
        <v>0.47291666666666665</v>
      </c>
      <c r="F9" t="s">
        <v>166</v>
      </c>
      <c r="G9" t="s">
        <v>87</v>
      </c>
      <c r="H9">
        <v>599860</v>
      </c>
      <c r="I9">
        <v>580940</v>
      </c>
      <c r="J9" s="6">
        <v>7</v>
      </c>
    </row>
    <row r="10" spans="1:10" hidden="1" x14ac:dyDescent="0.25">
      <c r="D10" s="8">
        <v>46079</v>
      </c>
      <c r="E10" s="9">
        <v>0.50208333333333333</v>
      </c>
      <c r="F10" t="s">
        <v>184</v>
      </c>
      <c r="G10" t="s">
        <v>167</v>
      </c>
      <c r="H10">
        <v>86776</v>
      </c>
      <c r="I10">
        <v>38945</v>
      </c>
      <c r="J10" s="6">
        <v>7</v>
      </c>
    </row>
    <row r="11" spans="1:10" hidden="1" x14ac:dyDescent="0.25">
      <c r="D11" s="8">
        <v>46079</v>
      </c>
      <c r="E11" s="9">
        <v>0.82361111111111107</v>
      </c>
      <c r="F11" t="s">
        <v>184</v>
      </c>
      <c r="G11" t="s">
        <v>87</v>
      </c>
      <c r="H11">
        <v>374224</v>
      </c>
      <c r="I11" t="s">
        <v>221</v>
      </c>
      <c r="J11" s="6">
        <v>7</v>
      </c>
    </row>
    <row r="12" spans="1:10" hidden="1" x14ac:dyDescent="0.25">
      <c r="D12" s="8">
        <v>46079</v>
      </c>
      <c r="E12" s="9">
        <v>0.57361111111111107</v>
      </c>
      <c r="F12" t="s">
        <v>199</v>
      </c>
      <c r="G12" t="s">
        <v>87</v>
      </c>
      <c r="H12">
        <v>86814</v>
      </c>
      <c r="I12">
        <v>383370</v>
      </c>
      <c r="J12" s="6">
        <v>8</v>
      </c>
    </row>
    <row r="13" spans="1:10" hidden="1" x14ac:dyDescent="0.25">
      <c r="D13" s="8">
        <v>46079</v>
      </c>
      <c r="E13" s="9">
        <v>0.70208333333333328</v>
      </c>
      <c r="F13" t="s">
        <v>184</v>
      </c>
      <c r="G13" t="s">
        <v>87</v>
      </c>
      <c r="H13">
        <v>754179</v>
      </c>
      <c r="I13" t="s">
        <v>218</v>
      </c>
      <c r="J13" s="6">
        <v>8</v>
      </c>
    </row>
    <row r="14" spans="1:10" hidden="1" x14ac:dyDescent="0.25">
      <c r="D14" s="8">
        <v>46079</v>
      </c>
      <c r="E14" s="9">
        <v>0.7270833333333333</v>
      </c>
      <c r="F14" t="s">
        <v>166</v>
      </c>
      <c r="G14" t="s">
        <v>87</v>
      </c>
      <c r="H14">
        <v>86873</v>
      </c>
      <c r="I14">
        <v>723960</v>
      </c>
      <c r="J14" s="6">
        <v>9.9</v>
      </c>
    </row>
    <row r="15" spans="1:10" x14ac:dyDescent="0.25">
      <c r="A15" t="s">
        <v>160</v>
      </c>
      <c r="B15" t="s">
        <v>161</v>
      </c>
      <c r="C15" t="s">
        <v>162</v>
      </c>
      <c r="D15" s="8">
        <v>46079</v>
      </c>
      <c r="E15" s="9">
        <v>0.90625</v>
      </c>
      <c r="F15" t="s">
        <v>92</v>
      </c>
      <c r="G15" t="s">
        <v>92</v>
      </c>
      <c r="H15">
        <v>55863</v>
      </c>
      <c r="J15" s="6">
        <v>10</v>
      </c>
    </row>
    <row r="16" spans="1:10" hidden="1" x14ac:dyDescent="0.25">
      <c r="D16" s="8">
        <v>46079</v>
      </c>
      <c r="E16" s="9">
        <v>0.26874999999999999</v>
      </c>
      <c r="F16" t="s">
        <v>166</v>
      </c>
      <c r="G16" t="s">
        <v>167</v>
      </c>
      <c r="H16">
        <v>754030</v>
      </c>
      <c r="I16">
        <v>105571</v>
      </c>
      <c r="J16" s="6">
        <v>10</v>
      </c>
    </row>
    <row r="17" spans="4:10" hidden="1" x14ac:dyDescent="0.25">
      <c r="D17" s="8">
        <v>46079</v>
      </c>
      <c r="E17" s="9">
        <v>0.75347222222222221</v>
      </c>
      <c r="F17" t="s">
        <v>166</v>
      </c>
      <c r="G17" t="s">
        <v>87</v>
      </c>
      <c r="H17">
        <v>374211</v>
      </c>
      <c r="I17">
        <v>238325</v>
      </c>
      <c r="J17" s="6">
        <v>10</v>
      </c>
    </row>
    <row r="18" spans="4:10" hidden="1" x14ac:dyDescent="0.25">
      <c r="D18" s="8">
        <v>46079</v>
      </c>
      <c r="E18" s="9">
        <v>0.83750000000000002</v>
      </c>
      <c r="F18" t="s">
        <v>166</v>
      </c>
      <c r="G18" t="s">
        <v>87</v>
      </c>
      <c r="H18">
        <v>374310</v>
      </c>
      <c r="I18">
        <v>62159</v>
      </c>
      <c r="J18" s="6">
        <v>10</v>
      </c>
    </row>
    <row r="19" spans="4:10" hidden="1" x14ac:dyDescent="0.25">
      <c r="D19" s="8">
        <v>46079</v>
      </c>
      <c r="E19" s="9">
        <v>0.90972222222222221</v>
      </c>
      <c r="F19" t="s">
        <v>166</v>
      </c>
      <c r="G19" t="s">
        <v>87</v>
      </c>
      <c r="H19">
        <v>86972</v>
      </c>
      <c r="I19">
        <v>715908</v>
      </c>
      <c r="J19" s="6">
        <v>10</v>
      </c>
    </row>
    <row r="20" spans="4:10" hidden="1" x14ac:dyDescent="0.25">
      <c r="D20" s="8">
        <v>46079</v>
      </c>
      <c r="E20" s="9">
        <v>1.9444444444444445E-2</v>
      </c>
      <c r="F20" t="s">
        <v>184</v>
      </c>
      <c r="G20" t="s">
        <v>87</v>
      </c>
      <c r="H20">
        <v>374084</v>
      </c>
      <c r="I20">
        <v>280262</v>
      </c>
      <c r="J20" s="6">
        <v>10</v>
      </c>
    </row>
    <row r="21" spans="4:10" hidden="1" x14ac:dyDescent="0.25">
      <c r="D21" s="8">
        <v>46079</v>
      </c>
      <c r="E21" s="9">
        <v>0.41180555555555554</v>
      </c>
      <c r="F21" t="s">
        <v>184</v>
      </c>
      <c r="G21" t="s">
        <v>87</v>
      </c>
      <c r="H21">
        <v>610587</v>
      </c>
      <c r="I21" t="s">
        <v>196</v>
      </c>
      <c r="J21" s="6">
        <v>10</v>
      </c>
    </row>
    <row r="22" spans="4:10" hidden="1" x14ac:dyDescent="0.25">
      <c r="D22" s="8">
        <v>46079</v>
      </c>
      <c r="E22" s="9">
        <v>0.20347222222222222</v>
      </c>
      <c r="F22" t="s">
        <v>199</v>
      </c>
      <c r="G22" t="s">
        <v>87</v>
      </c>
      <c r="H22">
        <v>374146</v>
      </c>
      <c r="I22">
        <v>190824</v>
      </c>
      <c r="J22" s="6">
        <v>10</v>
      </c>
    </row>
    <row r="23" spans="4:10" hidden="1" x14ac:dyDescent="0.25">
      <c r="D23" s="8">
        <v>46079</v>
      </c>
      <c r="E23" s="9">
        <v>0.30208333333333331</v>
      </c>
      <c r="F23" t="s">
        <v>199</v>
      </c>
      <c r="G23" t="s">
        <v>87</v>
      </c>
      <c r="H23">
        <v>371065</v>
      </c>
      <c r="I23">
        <v>637350</v>
      </c>
      <c r="J23" s="6">
        <v>10</v>
      </c>
    </row>
    <row r="24" spans="4:10" hidden="1" x14ac:dyDescent="0.25">
      <c r="D24" s="8">
        <v>46079</v>
      </c>
      <c r="E24" s="9">
        <v>0.49791666666666667</v>
      </c>
      <c r="F24" t="s">
        <v>184</v>
      </c>
      <c r="G24" t="s">
        <v>167</v>
      </c>
      <c r="H24">
        <v>877685</v>
      </c>
      <c r="I24">
        <v>859452</v>
      </c>
      <c r="J24" s="6">
        <v>10</v>
      </c>
    </row>
    <row r="25" spans="4:10" hidden="1" x14ac:dyDescent="0.25">
      <c r="D25" s="8">
        <v>46079</v>
      </c>
      <c r="E25" s="9">
        <v>0.25624999999999998</v>
      </c>
      <c r="F25" t="s">
        <v>184</v>
      </c>
      <c r="G25" t="s">
        <v>167</v>
      </c>
      <c r="H25">
        <v>610485</v>
      </c>
      <c r="I25">
        <v>555330</v>
      </c>
      <c r="J25" s="6">
        <v>10</v>
      </c>
    </row>
    <row r="26" spans="4:10" hidden="1" x14ac:dyDescent="0.25">
      <c r="D26" s="8">
        <v>46079</v>
      </c>
      <c r="E26" s="9">
        <v>2.361111111111111E-2</v>
      </c>
      <c r="F26" t="s">
        <v>184</v>
      </c>
      <c r="G26" t="s">
        <v>167</v>
      </c>
      <c r="H26">
        <v>753992</v>
      </c>
      <c r="I26">
        <v>766251</v>
      </c>
      <c r="J26" s="6">
        <v>10</v>
      </c>
    </row>
    <row r="27" spans="4:10" hidden="1" x14ac:dyDescent="0.25">
      <c r="D27" s="8">
        <v>46079</v>
      </c>
      <c r="E27" s="9">
        <v>0.59652777777777777</v>
      </c>
      <c r="F27" t="s">
        <v>199</v>
      </c>
      <c r="G27" t="s">
        <v>87</v>
      </c>
      <c r="H27">
        <v>754125</v>
      </c>
      <c r="I27">
        <v>406733</v>
      </c>
      <c r="J27" s="6">
        <v>10</v>
      </c>
    </row>
    <row r="28" spans="4:10" hidden="1" x14ac:dyDescent="0.25">
      <c r="D28" s="8">
        <v>46079</v>
      </c>
      <c r="E28" s="9">
        <v>0.71805555555555556</v>
      </c>
      <c r="F28" t="s">
        <v>184</v>
      </c>
      <c r="G28" t="s">
        <v>87</v>
      </c>
      <c r="H28">
        <v>599941</v>
      </c>
      <c r="I28" t="s">
        <v>216</v>
      </c>
      <c r="J28" s="6">
        <v>10</v>
      </c>
    </row>
    <row r="29" spans="4:10" hidden="1" x14ac:dyDescent="0.25">
      <c r="D29" s="8">
        <v>46079</v>
      </c>
      <c r="E29" s="9">
        <v>0.26805555555555555</v>
      </c>
      <c r="F29" t="s">
        <v>184</v>
      </c>
      <c r="G29" t="s">
        <v>236</v>
      </c>
      <c r="H29">
        <v>754028</v>
      </c>
      <c r="I29" t="s">
        <v>260</v>
      </c>
      <c r="J29" s="6">
        <v>10</v>
      </c>
    </row>
    <row r="30" spans="4:10" hidden="1" x14ac:dyDescent="0.25">
      <c r="D30" s="8">
        <v>46079</v>
      </c>
      <c r="E30" s="9">
        <v>0.93680555555555556</v>
      </c>
      <c r="F30" t="s">
        <v>166</v>
      </c>
      <c r="G30" t="s">
        <v>87</v>
      </c>
      <c r="H30">
        <v>374378</v>
      </c>
      <c r="I30">
        <v>293973</v>
      </c>
      <c r="J30" s="6">
        <v>11.21</v>
      </c>
    </row>
    <row r="31" spans="4:10" hidden="1" x14ac:dyDescent="0.25">
      <c r="D31" s="8">
        <v>46079</v>
      </c>
      <c r="E31" s="9">
        <v>0.37361111111111112</v>
      </c>
      <c r="F31" t="s">
        <v>184</v>
      </c>
      <c r="G31" t="s">
        <v>167</v>
      </c>
      <c r="H31">
        <v>877608</v>
      </c>
      <c r="I31">
        <v>402890</v>
      </c>
      <c r="J31" s="6">
        <v>12.17</v>
      </c>
    </row>
    <row r="32" spans="4:10" hidden="1" x14ac:dyDescent="0.25">
      <c r="D32" s="8">
        <v>46079</v>
      </c>
      <c r="E32" s="9">
        <v>0.22569444444444445</v>
      </c>
      <c r="F32" t="s">
        <v>199</v>
      </c>
      <c r="G32" t="s">
        <v>249</v>
      </c>
      <c r="H32">
        <v>610464</v>
      </c>
      <c r="I32">
        <v>539987</v>
      </c>
      <c r="J32" s="6">
        <v>12.27</v>
      </c>
    </row>
    <row r="33" spans="1:10" hidden="1" x14ac:dyDescent="0.25">
      <c r="D33" s="8">
        <v>46079</v>
      </c>
      <c r="E33" s="9">
        <v>0.58194444444444449</v>
      </c>
      <c r="F33" t="s">
        <v>184</v>
      </c>
      <c r="G33" t="s">
        <v>236</v>
      </c>
      <c r="H33">
        <v>86822</v>
      </c>
      <c r="I33">
        <v>583269</v>
      </c>
      <c r="J33" s="6">
        <v>12.72</v>
      </c>
    </row>
    <row r="34" spans="1:10" hidden="1" x14ac:dyDescent="0.25">
      <c r="D34" s="8">
        <v>46079</v>
      </c>
      <c r="E34" s="9">
        <v>0.63055555555555554</v>
      </c>
      <c r="F34" t="s">
        <v>184</v>
      </c>
      <c r="G34" t="s">
        <v>87</v>
      </c>
      <c r="H34">
        <v>754140</v>
      </c>
      <c r="I34" t="s">
        <v>211</v>
      </c>
      <c r="J34" s="6">
        <v>12.9</v>
      </c>
    </row>
    <row r="35" spans="1:10" hidden="1" x14ac:dyDescent="0.25">
      <c r="D35" s="8">
        <v>46079</v>
      </c>
      <c r="E35" s="9">
        <v>0.71875</v>
      </c>
      <c r="F35" t="s">
        <v>184</v>
      </c>
      <c r="G35" t="s">
        <v>167</v>
      </c>
      <c r="H35">
        <v>754189</v>
      </c>
      <c r="I35">
        <v>567977</v>
      </c>
      <c r="J35" s="6">
        <v>13</v>
      </c>
    </row>
    <row r="36" spans="1:10" hidden="1" x14ac:dyDescent="0.25">
      <c r="D36" s="8">
        <v>46079</v>
      </c>
      <c r="E36" s="9">
        <v>0.26805555555555555</v>
      </c>
      <c r="F36" t="s">
        <v>166</v>
      </c>
      <c r="G36" t="s">
        <v>167</v>
      </c>
      <c r="H36">
        <v>371040</v>
      </c>
      <c r="I36" t="s">
        <v>170</v>
      </c>
      <c r="J36" s="6">
        <v>15</v>
      </c>
    </row>
    <row r="37" spans="1:10" hidden="1" x14ac:dyDescent="0.25">
      <c r="D37" s="8">
        <v>46079</v>
      </c>
      <c r="E37" s="9">
        <v>0.82986111111111116</v>
      </c>
      <c r="F37" t="s">
        <v>166</v>
      </c>
      <c r="G37" t="s">
        <v>167</v>
      </c>
      <c r="H37">
        <v>86929</v>
      </c>
      <c r="I37">
        <v>397174</v>
      </c>
      <c r="J37" s="6">
        <v>15</v>
      </c>
    </row>
    <row r="38" spans="1:10" hidden="1" x14ac:dyDescent="0.25">
      <c r="D38" s="8">
        <v>46079</v>
      </c>
      <c r="E38" s="9">
        <v>0.43055555555555558</v>
      </c>
      <c r="F38" t="s">
        <v>184</v>
      </c>
      <c r="G38" t="s">
        <v>87</v>
      </c>
      <c r="H38">
        <v>754097</v>
      </c>
      <c r="I38" t="s">
        <v>198</v>
      </c>
      <c r="J38" s="6">
        <v>15</v>
      </c>
    </row>
    <row r="39" spans="1:10" hidden="1" x14ac:dyDescent="0.25">
      <c r="D39" s="8">
        <v>46079</v>
      </c>
      <c r="E39" s="9">
        <v>2.361111111111111E-2</v>
      </c>
      <c r="F39" t="s">
        <v>184</v>
      </c>
      <c r="G39" t="s">
        <v>167</v>
      </c>
      <c r="H39">
        <v>374090</v>
      </c>
      <c r="I39">
        <v>476068</v>
      </c>
      <c r="J39" s="6">
        <v>15</v>
      </c>
    </row>
    <row r="40" spans="1:10" hidden="1" x14ac:dyDescent="0.25">
      <c r="D40" s="8">
        <v>46079</v>
      </c>
      <c r="E40" s="9">
        <v>0.54166666666666663</v>
      </c>
      <c r="F40" t="s">
        <v>184</v>
      </c>
      <c r="G40" t="s">
        <v>167</v>
      </c>
      <c r="H40">
        <v>599886</v>
      </c>
      <c r="I40">
        <v>943291</v>
      </c>
      <c r="J40" s="6">
        <v>15</v>
      </c>
    </row>
    <row r="41" spans="1:10" hidden="1" x14ac:dyDescent="0.25">
      <c r="D41" s="8">
        <v>46079</v>
      </c>
      <c r="E41" s="9">
        <v>0.24166666666666667</v>
      </c>
      <c r="F41" t="s">
        <v>184</v>
      </c>
      <c r="G41" t="s">
        <v>236</v>
      </c>
      <c r="H41">
        <v>754016</v>
      </c>
      <c r="I41">
        <v>313420</v>
      </c>
      <c r="J41" s="6">
        <v>15</v>
      </c>
    </row>
    <row r="42" spans="1:10" hidden="1" x14ac:dyDescent="0.25">
      <c r="D42" s="8">
        <v>46079</v>
      </c>
      <c r="E42" s="9">
        <v>0.38750000000000001</v>
      </c>
      <c r="F42" t="s">
        <v>199</v>
      </c>
      <c r="G42" t="s">
        <v>249</v>
      </c>
      <c r="H42">
        <v>610565</v>
      </c>
      <c r="I42">
        <v>713741</v>
      </c>
      <c r="J42" s="6">
        <v>15</v>
      </c>
    </row>
    <row r="43" spans="1:10" hidden="1" x14ac:dyDescent="0.25">
      <c r="D43" s="8">
        <v>46079</v>
      </c>
      <c r="E43" s="9">
        <v>0.42152777777777778</v>
      </c>
      <c r="F43" t="s">
        <v>166</v>
      </c>
      <c r="G43" t="s">
        <v>87</v>
      </c>
      <c r="H43">
        <v>754094</v>
      </c>
      <c r="I43">
        <v>75180</v>
      </c>
      <c r="J43" s="6">
        <v>15.61</v>
      </c>
    </row>
    <row r="44" spans="1:10" x14ac:dyDescent="0.25">
      <c r="A44" t="s">
        <v>127</v>
      </c>
      <c r="B44" t="s">
        <v>128</v>
      </c>
      <c r="C44" t="s">
        <v>98</v>
      </c>
      <c r="D44" s="8">
        <v>46079</v>
      </c>
      <c r="E44" s="9">
        <v>0.79166666666666663</v>
      </c>
      <c r="F44" t="s">
        <v>92</v>
      </c>
      <c r="G44" t="s">
        <v>92</v>
      </c>
      <c r="H44">
        <v>2123543</v>
      </c>
      <c r="J44" s="6">
        <v>16</v>
      </c>
    </row>
    <row r="45" spans="1:10" hidden="1" x14ac:dyDescent="0.25">
      <c r="D45" s="8">
        <v>46079</v>
      </c>
      <c r="E45" s="9">
        <v>0.21805555555555556</v>
      </c>
      <c r="F45" t="s">
        <v>166</v>
      </c>
      <c r="G45" t="s">
        <v>167</v>
      </c>
      <c r="H45">
        <v>610451</v>
      </c>
      <c r="I45" t="s">
        <v>171</v>
      </c>
      <c r="J45" s="6">
        <v>16</v>
      </c>
    </row>
    <row r="46" spans="1:10" hidden="1" x14ac:dyDescent="0.25">
      <c r="D46" s="8">
        <v>46079</v>
      </c>
      <c r="E46" s="9">
        <v>0.39652777777777776</v>
      </c>
      <c r="F46" t="s">
        <v>166</v>
      </c>
      <c r="G46" t="s">
        <v>87</v>
      </c>
      <c r="H46">
        <v>610577</v>
      </c>
      <c r="I46">
        <v>40895</v>
      </c>
      <c r="J46" s="6">
        <v>16.350000000000001</v>
      </c>
    </row>
    <row r="47" spans="1:10" hidden="1" x14ac:dyDescent="0.25">
      <c r="D47" s="8">
        <v>46079</v>
      </c>
      <c r="E47" s="9">
        <v>0.82430555555555551</v>
      </c>
      <c r="F47" t="s">
        <v>184</v>
      </c>
      <c r="G47" t="s">
        <v>249</v>
      </c>
      <c r="H47">
        <v>610753</v>
      </c>
      <c r="I47" t="s">
        <v>250</v>
      </c>
      <c r="J47" s="6">
        <v>17</v>
      </c>
    </row>
    <row r="48" spans="1:10" x14ac:dyDescent="0.25">
      <c r="A48" t="s">
        <v>129</v>
      </c>
      <c r="B48" t="s">
        <v>130</v>
      </c>
      <c r="C48" t="s">
        <v>131</v>
      </c>
      <c r="D48" s="8">
        <v>46079</v>
      </c>
      <c r="E48" s="9">
        <v>0.79583333333333328</v>
      </c>
      <c r="F48" t="s">
        <v>92</v>
      </c>
      <c r="G48" t="s">
        <v>92</v>
      </c>
      <c r="H48">
        <v>2143512</v>
      </c>
      <c r="J48" s="6">
        <v>17.21</v>
      </c>
    </row>
    <row r="49" spans="1:10" hidden="1" x14ac:dyDescent="0.25">
      <c r="D49" s="8">
        <v>46079</v>
      </c>
      <c r="E49" s="9">
        <v>0.73055555555555551</v>
      </c>
      <c r="F49" t="s">
        <v>184</v>
      </c>
      <c r="G49" t="s">
        <v>236</v>
      </c>
      <c r="H49">
        <v>374222</v>
      </c>
      <c r="I49">
        <v>337964</v>
      </c>
      <c r="J49" s="6">
        <v>17.73</v>
      </c>
    </row>
    <row r="50" spans="1:10" hidden="1" x14ac:dyDescent="0.25">
      <c r="D50" s="8">
        <v>46079</v>
      </c>
      <c r="E50" s="9">
        <v>0.49861111111111112</v>
      </c>
      <c r="F50" t="s">
        <v>166</v>
      </c>
      <c r="G50" t="s">
        <v>87</v>
      </c>
      <c r="H50">
        <v>869496</v>
      </c>
      <c r="I50">
        <v>143108</v>
      </c>
      <c r="J50" s="6">
        <v>18.46</v>
      </c>
    </row>
    <row r="51" spans="1:10" hidden="1" x14ac:dyDescent="0.25">
      <c r="D51" s="8">
        <v>46079</v>
      </c>
      <c r="E51" s="9">
        <v>0.56944444444444442</v>
      </c>
      <c r="F51" t="s">
        <v>166</v>
      </c>
      <c r="G51" t="s">
        <v>87</v>
      </c>
      <c r="H51">
        <v>754111</v>
      </c>
      <c r="I51">
        <v>538550</v>
      </c>
      <c r="J51" s="6">
        <v>19</v>
      </c>
    </row>
    <row r="52" spans="1:10" hidden="1" x14ac:dyDescent="0.25">
      <c r="D52" s="8">
        <v>46079</v>
      </c>
      <c r="E52" s="9">
        <v>0.16875000000000001</v>
      </c>
      <c r="F52" t="s">
        <v>199</v>
      </c>
      <c r="G52" t="s">
        <v>87</v>
      </c>
      <c r="H52">
        <v>374132</v>
      </c>
      <c r="I52">
        <v>738299</v>
      </c>
      <c r="J52" s="6">
        <v>19.350000000000001</v>
      </c>
    </row>
    <row r="53" spans="1:10" hidden="1" x14ac:dyDescent="0.25">
      <c r="D53" s="8">
        <v>46079</v>
      </c>
      <c r="E53" s="9">
        <v>0.55972222222222223</v>
      </c>
      <c r="F53" t="s">
        <v>184</v>
      </c>
      <c r="G53" t="s">
        <v>167</v>
      </c>
      <c r="H53">
        <v>610644</v>
      </c>
      <c r="I53">
        <v>370578</v>
      </c>
      <c r="J53" s="6">
        <v>19.350000000000001</v>
      </c>
    </row>
    <row r="54" spans="1:10" hidden="1" x14ac:dyDescent="0.25">
      <c r="D54" s="8">
        <v>46079</v>
      </c>
      <c r="E54" s="9">
        <v>0.74930555555555556</v>
      </c>
      <c r="F54" t="s">
        <v>184</v>
      </c>
      <c r="G54" t="s">
        <v>167</v>
      </c>
      <c r="H54">
        <v>754209</v>
      </c>
      <c r="I54">
        <v>313146</v>
      </c>
      <c r="J54" s="6">
        <v>19.350000000000001</v>
      </c>
    </row>
    <row r="55" spans="1:10" hidden="1" x14ac:dyDescent="0.25">
      <c r="D55" s="8">
        <v>46079</v>
      </c>
      <c r="E55" s="9">
        <v>0.24097222222222223</v>
      </c>
      <c r="F55" t="s">
        <v>184</v>
      </c>
      <c r="G55" t="s">
        <v>167</v>
      </c>
      <c r="H55">
        <v>610477</v>
      </c>
      <c r="I55">
        <v>913401</v>
      </c>
      <c r="J55" s="6">
        <v>19.36</v>
      </c>
    </row>
    <row r="56" spans="1:10" hidden="1" x14ac:dyDescent="0.25">
      <c r="D56" s="8">
        <v>46079</v>
      </c>
      <c r="E56" s="9">
        <v>0.66527777777777775</v>
      </c>
      <c r="F56" t="s">
        <v>184</v>
      </c>
      <c r="G56" t="s">
        <v>87</v>
      </c>
      <c r="H56">
        <v>610679</v>
      </c>
      <c r="I56" t="s">
        <v>209</v>
      </c>
      <c r="J56" s="6">
        <v>19.989999999999998</v>
      </c>
    </row>
    <row r="57" spans="1:10" x14ac:dyDescent="0.25">
      <c r="A57" t="s">
        <v>93</v>
      </c>
      <c r="B57" t="s">
        <v>94</v>
      </c>
      <c r="C57" t="s">
        <v>95</v>
      </c>
      <c r="D57" s="8">
        <v>46079</v>
      </c>
      <c r="E57" s="9">
        <v>0.33611111111111114</v>
      </c>
      <c r="F57" t="s">
        <v>92</v>
      </c>
      <c r="G57" t="s">
        <v>92</v>
      </c>
      <c r="H57">
        <v>338032</v>
      </c>
      <c r="J57" s="6">
        <v>20</v>
      </c>
    </row>
    <row r="58" spans="1:10" x14ac:dyDescent="0.25">
      <c r="A58" t="s">
        <v>99</v>
      </c>
      <c r="B58" t="s">
        <v>100</v>
      </c>
      <c r="C58" t="s">
        <v>101</v>
      </c>
      <c r="D58" s="8">
        <v>46079</v>
      </c>
      <c r="E58" s="9">
        <v>0.34027777777777779</v>
      </c>
      <c r="F58" t="s">
        <v>92</v>
      </c>
      <c r="G58" t="s">
        <v>92</v>
      </c>
      <c r="H58">
        <v>348500</v>
      </c>
      <c r="J58" s="6">
        <v>20</v>
      </c>
    </row>
    <row r="59" spans="1:10" x14ac:dyDescent="0.25">
      <c r="A59" t="s">
        <v>109</v>
      </c>
      <c r="B59" t="s">
        <v>110</v>
      </c>
      <c r="C59" t="s">
        <v>101</v>
      </c>
      <c r="D59" s="8">
        <v>46079</v>
      </c>
      <c r="E59" s="9">
        <v>0.77430555555555558</v>
      </c>
      <c r="F59" t="s">
        <v>92</v>
      </c>
      <c r="G59" t="s">
        <v>92</v>
      </c>
      <c r="H59">
        <v>2013878</v>
      </c>
      <c r="J59" s="6">
        <v>20</v>
      </c>
    </row>
    <row r="60" spans="1:10" x14ac:dyDescent="0.25">
      <c r="A60" t="s">
        <v>149</v>
      </c>
      <c r="B60" t="s">
        <v>150</v>
      </c>
      <c r="C60" t="s">
        <v>98</v>
      </c>
      <c r="D60" s="8">
        <v>46079</v>
      </c>
      <c r="E60" s="9">
        <v>0.84791666666666665</v>
      </c>
      <c r="F60" t="s">
        <v>92</v>
      </c>
      <c r="G60" t="s">
        <v>92</v>
      </c>
      <c r="H60">
        <v>2325637</v>
      </c>
      <c r="J60" s="6">
        <v>20</v>
      </c>
    </row>
    <row r="61" spans="1:10" x14ac:dyDescent="0.25">
      <c r="A61" t="s">
        <v>151</v>
      </c>
      <c r="B61" t="s">
        <v>152</v>
      </c>
      <c r="C61" t="s">
        <v>98</v>
      </c>
      <c r="D61" s="8">
        <v>46079</v>
      </c>
      <c r="E61" s="9">
        <v>0.8569444444444444</v>
      </c>
      <c r="F61" t="s">
        <v>92</v>
      </c>
      <c r="G61" t="s">
        <v>92</v>
      </c>
      <c r="H61">
        <v>2347342</v>
      </c>
      <c r="J61" s="6">
        <v>20</v>
      </c>
    </row>
    <row r="62" spans="1:10" x14ac:dyDescent="0.25">
      <c r="A62" t="s">
        <v>153</v>
      </c>
      <c r="B62" t="s">
        <v>154</v>
      </c>
      <c r="C62" t="s">
        <v>98</v>
      </c>
      <c r="D62" s="8">
        <v>46079</v>
      </c>
      <c r="E62" s="9">
        <v>0.86458333333333337</v>
      </c>
      <c r="F62" t="s">
        <v>92</v>
      </c>
      <c r="G62" t="s">
        <v>92</v>
      </c>
      <c r="H62">
        <v>2366181</v>
      </c>
      <c r="J62" s="6">
        <v>20</v>
      </c>
    </row>
    <row r="63" spans="1:10" hidden="1" x14ac:dyDescent="0.25">
      <c r="D63" s="8">
        <v>46079</v>
      </c>
      <c r="E63" s="9">
        <v>0.36527777777777776</v>
      </c>
      <c r="F63" t="s">
        <v>166</v>
      </c>
      <c r="G63" t="s">
        <v>167</v>
      </c>
      <c r="H63">
        <v>610547</v>
      </c>
      <c r="I63" t="s">
        <v>173</v>
      </c>
      <c r="J63" s="6">
        <v>20</v>
      </c>
    </row>
    <row r="64" spans="1:10" hidden="1" x14ac:dyDescent="0.25">
      <c r="D64" s="8">
        <v>46079</v>
      </c>
      <c r="E64" s="9">
        <v>0.27083333333333331</v>
      </c>
      <c r="F64" t="s">
        <v>166</v>
      </c>
      <c r="G64" t="s">
        <v>87</v>
      </c>
      <c r="H64">
        <v>877537</v>
      </c>
      <c r="I64" t="s">
        <v>176</v>
      </c>
      <c r="J64" s="6">
        <v>20</v>
      </c>
    </row>
    <row r="65" spans="4:10" hidden="1" x14ac:dyDescent="0.25">
      <c r="D65" s="8">
        <v>46079</v>
      </c>
      <c r="E65" s="9">
        <v>0.49375000000000002</v>
      </c>
      <c r="F65" t="s">
        <v>166</v>
      </c>
      <c r="G65" t="s">
        <v>87</v>
      </c>
      <c r="H65">
        <v>869493</v>
      </c>
      <c r="I65">
        <v>142697</v>
      </c>
      <c r="J65" s="6">
        <v>20</v>
      </c>
    </row>
    <row r="66" spans="4:10" hidden="1" x14ac:dyDescent="0.25">
      <c r="D66" s="8">
        <v>46079</v>
      </c>
      <c r="E66" s="9">
        <v>0.34930555555555554</v>
      </c>
      <c r="F66" t="s">
        <v>166</v>
      </c>
      <c r="G66" t="s">
        <v>87</v>
      </c>
      <c r="H66">
        <v>610540</v>
      </c>
      <c r="I66">
        <v>234161</v>
      </c>
      <c r="J66" s="6">
        <v>20</v>
      </c>
    </row>
    <row r="67" spans="4:10" hidden="1" x14ac:dyDescent="0.25">
      <c r="D67" s="8">
        <v>46079</v>
      </c>
      <c r="E67" s="9">
        <v>0.55694444444444446</v>
      </c>
      <c r="F67" t="s">
        <v>166</v>
      </c>
      <c r="G67" t="s">
        <v>167</v>
      </c>
      <c r="H67">
        <v>754104</v>
      </c>
      <c r="I67">
        <v>456452</v>
      </c>
      <c r="J67" s="6">
        <v>20</v>
      </c>
    </row>
    <row r="68" spans="4:10" hidden="1" x14ac:dyDescent="0.25">
      <c r="D68" s="8">
        <v>46079</v>
      </c>
      <c r="E68" s="9">
        <v>0.50069444444444444</v>
      </c>
      <c r="F68" t="s">
        <v>166</v>
      </c>
      <c r="G68" t="s">
        <v>87</v>
      </c>
      <c r="H68">
        <v>86773</v>
      </c>
      <c r="I68">
        <v>187486</v>
      </c>
      <c r="J68" s="6">
        <v>20</v>
      </c>
    </row>
    <row r="69" spans="4:10" hidden="1" x14ac:dyDescent="0.25">
      <c r="D69" s="8">
        <v>46079</v>
      </c>
      <c r="E69" s="9">
        <v>0.83125000000000004</v>
      </c>
      <c r="F69" t="s">
        <v>166</v>
      </c>
      <c r="G69" t="s">
        <v>167</v>
      </c>
      <c r="H69">
        <v>610760</v>
      </c>
      <c r="I69" t="s">
        <v>182</v>
      </c>
      <c r="J69" s="6">
        <v>20</v>
      </c>
    </row>
    <row r="70" spans="4:10" hidden="1" x14ac:dyDescent="0.25">
      <c r="D70" s="8">
        <v>46079</v>
      </c>
      <c r="E70" s="9">
        <v>0.79583333333333328</v>
      </c>
      <c r="F70" t="s">
        <v>166</v>
      </c>
      <c r="G70" t="s">
        <v>87</v>
      </c>
      <c r="H70">
        <v>610733</v>
      </c>
      <c r="I70">
        <v>357082</v>
      </c>
      <c r="J70" s="6">
        <v>20</v>
      </c>
    </row>
    <row r="71" spans="4:10" hidden="1" x14ac:dyDescent="0.25">
      <c r="D71" s="8">
        <v>46079</v>
      </c>
      <c r="E71" s="9">
        <v>0.8125</v>
      </c>
      <c r="F71" t="s">
        <v>166</v>
      </c>
      <c r="G71" t="s">
        <v>87</v>
      </c>
      <c r="H71">
        <v>610743</v>
      </c>
      <c r="I71">
        <v>670922</v>
      </c>
      <c r="J71" s="6">
        <v>20</v>
      </c>
    </row>
    <row r="72" spans="4:10" hidden="1" x14ac:dyDescent="0.25">
      <c r="D72" s="8">
        <v>46079</v>
      </c>
      <c r="E72" s="9">
        <v>0.81319444444444444</v>
      </c>
      <c r="F72" t="s">
        <v>166</v>
      </c>
      <c r="G72" t="s">
        <v>87</v>
      </c>
      <c r="H72">
        <v>610746</v>
      </c>
      <c r="I72">
        <v>684400</v>
      </c>
      <c r="J72" s="6">
        <v>20</v>
      </c>
    </row>
    <row r="73" spans="4:10" hidden="1" x14ac:dyDescent="0.25">
      <c r="D73" s="8">
        <v>46079</v>
      </c>
      <c r="E73" s="9">
        <v>0.78611111111111109</v>
      </c>
      <c r="F73" t="s">
        <v>166</v>
      </c>
      <c r="G73" t="s">
        <v>87</v>
      </c>
      <c r="H73">
        <v>374269</v>
      </c>
      <c r="I73">
        <v>367928</v>
      </c>
      <c r="J73" s="6">
        <v>20</v>
      </c>
    </row>
    <row r="74" spans="4:10" hidden="1" x14ac:dyDescent="0.25">
      <c r="D74" s="8">
        <v>46079</v>
      </c>
      <c r="E74" s="9">
        <v>0.80208333333333337</v>
      </c>
      <c r="F74" t="s">
        <v>166</v>
      </c>
      <c r="G74" t="s">
        <v>87</v>
      </c>
      <c r="H74">
        <v>374275</v>
      </c>
      <c r="I74">
        <v>169353</v>
      </c>
      <c r="J74" s="6">
        <v>20</v>
      </c>
    </row>
    <row r="75" spans="4:10" hidden="1" x14ac:dyDescent="0.25">
      <c r="D75" s="8">
        <v>46079</v>
      </c>
      <c r="E75" s="9">
        <v>0.90972222222222221</v>
      </c>
      <c r="F75" t="s">
        <v>166</v>
      </c>
      <c r="G75" t="s">
        <v>87</v>
      </c>
      <c r="H75">
        <v>374355</v>
      </c>
      <c r="I75">
        <v>715079</v>
      </c>
      <c r="J75" s="6">
        <v>20</v>
      </c>
    </row>
    <row r="76" spans="4:10" hidden="1" x14ac:dyDescent="0.25">
      <c r="D76" s="8">
        <v>46079</v>
      </c>
      <c r="E76" s="9">
        <v>0.47013888888888888</v>
      </c>
      <c r="F76" t="s">
        <v>184</v>
      </c>
      <c r="G76" t="s">
        <v>87</v>
      </c>
      <c r="H76">
        <v>86753</v>
      </c>
      <c r="I76">
        <v>721472</v>
      </c>
      <c r="J76" s="6">
        <v>20</v>
      </c>
    </row>
    <row r="77" spans="4:10" hidden="1" x14ac:dyDescent="0.25">
      <c r="D77" s="8">
        <v>46079</v>
      </c>
      <c r="E77" s="9">
        <v>1.9444444444444445E-2</v>
      </c>
      <c r="F77" t="s">
        <v>184</v>
      </c>
      <c r="G77" t="s">
        <v>87</v>
      </c>
      <c r="H77">
        <v>374087</v>
      </c>
      <c r="I77">
        <v>284874</v>
      </c>
      <c r="J77" s="6">
        <v>20</v>
      </c>
    </row>
    <row r="78" spans="4:10" hidden="1" x14ac:dyDescent="0.25">
      <c r="D78" s="8">
        <v>46079</v>
      </c>
      <c r="E78" s="9">
        <v>0.30069444444444443</v>
      </c>
      <c r="F78" t="s">
        <v>184</v>
      </c>
      <c r="G78" t="s">
        <v>87</v>
      </c>
      <c r="H78">
        <v>371062</v>
      </c>
      <c r="I78">
        <v>132564</v>
      </c>
      <c r="J78" s="6">
        <v>20</v>
      </c>
    </row>
    <row r="79" spans="4:10" hidden="1" x14ac:dyDescent="0.25">
      <c r="D79" s="8">
        <v>46079</v>
      </c>
      <c r="E79" s="9">
        <v>0.31597222222222221</v>
      </c>
      <c r="F79" t="s">
        <v>184</v>
      </c>
      <c r="G79" t="s">
        <v>87</v>
      </c>
      <c r="H79">
        <v>371075</v>
      </c>
      <c r="I79" t="s">
        <v>192</v>
      </c>
      <c r="J79" s="6">
        <v>20</v>
      </c>
    </row>
    <row r="80" spans="4:10" hidden="1" x14ac:dyDescent="0.25">
      <c r="D80" s="8">
        <v>46079</v>
      </c>
      <c r="E80" s="9">
        <v>0.29722222222222222</v>
      </c>
      <c r="F80" t="s">
        <v>184</v>
      </c>
      <c r="G80" t="s">
        <v>87</v>
      </c>
      <c r="H80">
        <v>610510</v>
      </c>
      <c r="I80" t="s">
        <v>194</v>
      </c>
      <c r="J80" s="6">
        <v>20</v>
      </c>
    </row>
    <row r="81" spans="4:10" hidden="1" x14ac:dyDescent="0.25">
      <c r="D81" s="8">
        <v>46079</v>
      </c>
      <c r="E81" s="9">
        <v>0.26874999999999999</v>
      </c>
      <c r="F81" t="s">
        <v>199</v>
      </c>
      <c r="G81" t="s">
        <v>87</v>
      </c>
      <c r="H81">
        <v>599774</v>
      </c>
      <c r="I81">
        <v>357872</v>
      </c>
      <c r="J81" s="6">
        <v>20</v>
      </c>
    </row>
    <row r="82" spans="4:10" hidden="1" x14ac:dyDescent="0.25">
      <c r="D82" s="8">
        <v>46079</v>
      </c>
      <c r="E82" s="9">
        <v>0.33055555555555555</v>
      </c>
      <c r="F82" t="s">
        <v>184</v>
      </c>
      <c r="G82" t="s">
        <v>167</v>
      </c>
      <c r="H82">
        <v>877577</v>
      </c>
      <c r="I82">
        <v>619016</v>
      </c>
      <c r="J82" s="6">
        <v>20</v>
      </c>
    </row>
    <row r="83" spans="4:10" hidden="1" x14ac:dyDescent="0.25">
      <c r="D83" s="8">
        <v>46079</v>
      </c>
      <c r="E83" s="9">
        <v>0.34444444444444444</v>
      </c>
      <c r="F83" t="s">
        <v>184</v>
      </c>
      <c r="G83" t="s">
        <v>167</v>
      </c>
      <c r="H83">
        <v>877591</v>
      </c>
      <c r="I83">
        <v>410888</v>
      </c>
      <c r="J83" s="6">
        <v>20</v>
      </c>
    </row>
    <row r="84" spans="4:10" hidden="1" x14ac:dyDescent="0.25">
      <c r="D84" s="8">
        <v>46079</v>
      </c>
      <c r="E84" s="9">
        <v>0.21875</v>
      </c>
      <c r="F84" t="s">
        <v>184</v>
      </c>
      <c r="G84" t="s">
        <v>167</v>
      </c>
      <c r="H84">
        <v>610454</v>
      </c>
      <c r="I84">
        <v>31175</v>
      </c>
      <c r="J84" s="6">
        <v>20</v>
      </c>
    </row>
    <row r="85" spans="4:10" hidden="1" x14ac:dyDescent="0.25">
      <c r="D85" s="8">
        <v>46079</v>
      </c>
      <c r="E85" s="9">
        <v>0.48055555555555557</v>
      </c>
      <c r="F85" t="s">
        <v>184</v>
      </c>
      <c r="G85" t="s">
        <v>167</v>
      </c>
      <c r="H85">
        <v>610602</v>
      </c>
      <c r="I85">
        <v>413934</v>
      </c>
      <c r="J85" s="6">
        <v>20</v>
      </c>
    </row>
    <row r="86" spans="4:10" hidden="1" x14ac:dyDescent="0.25">
      <c r="D86" s="8">
        <v>46079</v>
      </c>
      <c r="E86" s="9">
        <v>0.41736111111111113</v>
      </c>
      <c r="F86" t="s">
        <v>184</v>
      </c>
      <c r="G86" t="s">
        <v>167</v>
      </c>
      <c r="H86">
        <v>599838</v>
      </c>
      <c r="I86">
        <v>87568</v>
      </c>
      <c r="J86" s="6">
        <v>20</v>
      </c>
    </row>
    <row r="87" spans="4:10" hidden="1" x14ac:dyDescent="0.25">
      <c r="D87" s="8">
        <v>46079</v>
      </c>
      <c r="E87" s="9">
        <v>4.3055555555555555E-2</v>
      </c>
      <c r="F87" t="s">
        <v>184</v>
      </c>
      <c r="G87" t="s">
        <v>167</v>
      </c>
      <c r="H87">
        <v>754004</v>
      </c>
      <c r="I87">
        <v>703638</v>
      </c>
      <c r="J87" s="6">
        <v>20</v>
      </c>
    </row>
    <row r="88" spans="4:10" hidden="1" x14ac:dyDescent="0.25">
      <c r="D88" s="8">
        <v>46079</v>
      </c>
      <c r="E88" s="9">
        <v>0.43541666666666667</v>
      </c>
      <c r="F88" t="s">
        <v>184</v>
      </c>
      <c r="G88" t="s">
        <v>167</v>
      </c>
      <c r="H88">
        <v>374050</v>
      </c>
      <c r="I88">
        <v>183479</v>
      </c>
      <c r="J88" s="6">
        <v>20</v>
      </c>
    </row>
    <row r="89" spans="4:10" hidden="1" x14ac:dyDescent="0.25">
      <c r="D89" s="8">
        <v>46079</v>
      </c>
      <c r="E89" s="9">
        <v>0.59444444444444444</v>
      </c>
      <c r="F89" t="s">
        <v>184</v>
      </c>
      <c r="G89" t="s">
        <v>87</v>
      </c>
      <c r="H89">
        <v>869511</v>
      </c>
      <c r="I89" t="s">
        <v>201</v>
      </c>
      <c r="J89" s="6">
        <v>20</v>
      </c>
    </row>
    <row r="90" spans="4:10" hidden="1" x14ac:dyDescent="0.25">
      <c r="D90" s="8">
        <v>46079</v>
      </c>
      <c r="E90" s="9">
        <v>0.58194444444444449</v>
      </c>
      <c r="F90" t="s">
        <v>184</v>
      </c>
      <c r="G90" t="s">
        <v>87</v>
      </c>
      <c r="H90">
        <v>599899</v>
      </c>
      <c r="I90" t="s">
        <v>210</v>
      </c>
      <c r="J90" s="6">
        <v>20</v>
      </c>
    </row>
    <row r="91" spans="4:10" hidden="1" x14ac:dyDescent="0.25">
      <c r="D91" s="8">
        <v>46079</v>
      </c>
      <c r="E91" s="9">
        <v>0.49930555555555556</v>
      </c>
      <c r="F91" t="s">
        <v>199</v>
      </c>
      <c r="G91" t="s">
        <v>87</v>
      </c>
      <c r="H91">
        <v>877688</v>
      </c>
      <c r="I91">
        <v>162453</v>
      </c>
      <c r="J91" s="6">
        <v>20</v>
      </c>
    </row>
    <row r="92" spans="4:10" hidden="1" x14ac:dyDescent="0.25">
      <c r="D92" s="8">
        <v>46079</v>
      </c>
      <c r="E92" s="9">
        <v>0.54513888888888884</v>
      </c>
      <c r="F92" t="s">
        <v>184</v>
      </c>
      <c r="G92" t="s">
        <v>167</v>
      </c>
      <c r="H92">
        <v>86799</v>
      </c>
      <c r="I92">
        <v>724493</v>
      </c>
      <c r="J92" s="6">
        <v>20</v>
      </c>
    </row>
    <row r="93" spans="4:10" hidden="1" x14ac:dyDescent="0.25">
      <c r="D93" s="8">
        <v>46079</v>
      </c>
      <c r="E93" s="9">
        <v>0.53402777777777777</v>
      </c>
      <c r="F93" t="s">
        <v>184</v>
      </c>
      <c r="G93" t="s">
        <v>167</v>
      </c>
      <c r="H93">
        <v>869505</v>
      </c>
      <c r="I93">
        <v>745869</v>
      </c>
      <c r="J93" s="6">
        <v>20</v>
      </c>
    </row>
    <row r="94" spans="4:10" hidden="1" x14ac:dyDescent="0.25">
      <c r="D94" s="8">
        <v>46079</v>
      </c>
      <c r="E94" s="9">
        <v>0.59791666666666665</v>
      </c>
      <c r="F94" t="s">
        <v>184</v>
      </c>
      <c r="G94" t="s">
        <v>167</v>
      </c>
      <c r="H94">
        <v>869517</v>
      </c>
      <c r="I94">
        <v>124441</v>
      </c>
      <c r="J94" s="6">
        <v>20</v>
      </c>
    </row>
    <row r="95" spans="4:10" hidden="1" x14ac:dyDescent="0.25">
      <c r="D95" s="8">
        <v>46079</v>
      </c>
      <c r="E95" s="9">
        <v>0.68472222222222223</v>
      </c>
      <c r="F95" t="s">
        <v>184</v>
      </c>
      <c r="G95" t="s">
        <v>167</v>
      </c>
      <c r="H95">
        <v>754165</v>
      </c>
      <c r="I95">
        <v>562981</v>
      </c>
      <c r="J95" s="6">
        <v>20</v>
      </c>
    </row>
    <row r="96" spans="4:10" hidden="1" x14ac:dyDescent="0.25">
      <c r="D96" s="8">
        <v>46079</v>
      </c>
      <c r="E96" s="9">
        <v>0.73819444444444449</v>
      </c>
      <c r="F96" t="s">
        <v>184</v>
      </c>
      <c r="G96" t="s">
        <v>167</v>
      </c>
      <c r="H96">
        <v>754204</v>
      </c>
      <c r="I96">
        <v>253337</v>
      </c>
      <c r="J96" s="6">
        <v>20</v>
      </c>
    </row>
    <row r="97" spans="4:10" hidden="1" x14ac:dyDescent="0.25">
      <c r="D97" s="8">
        <v>46079</v>
      </c>
      <c r="E97" s="9">
        <v>0.8305555555555556</v>
      </c>
      <c r="F97" t="s">
        <v>184</v>
      </c>
      <c r="G97" t="s">
        <v>87</v>
      </c>
      <c r="H97">
        <v>610757</v>
      </c>
      <c r="I97">
        <v>561464</v>
      </c>
      <c r="J97" s="6">
        <v>20</v>
      </c>
    </row>
    <row r="98" spans="4:10" hidden="1" x14ac:dyDescent="0.25">
      <c r="D98" s="8">
        <v>46079</v>
      </c>
      <c r="E98" s="9">
        <v>0.81666666666666665</v>
      </c>
      <c r="F98" t="s">
        <v>199</v>
      </c>
      <c r="G98" t="s">
        <v>87</v>
      </c>
      <c r="H98">
        <v>877729</v>
      </c>
      <c r="I98">
        <v>736591</v>
      </c>
      <c r="J98" s="6">
        <v>20</v>
      </c>
    </row>
    <row r="99" spans="4:10" hidden="1" x14ac:dyDescent="0.25">
      <c r="D99" s="8">
        <v>46079</v>
      </c>
      <c r="E99" s="9">
        <v>0.7944444444444444</v>
      </c>
      <c r="F99" t="s">
        <v>199</v>
      </c>
      <c r="G99" t="s">
        <v>87</v>
      </c>
      <c r="H99">
        <v>610730</v>
      </c>
      <c r="I99">
        <v>908418</v>
      </c>
      <c r="J99" s="6">
        <v>20</v>
      </c>
    </row>
    <row r="100" spans="4:10" hidden="1" x14ac:dyDescent="0.25">
      <c r="D100" s="8">
        <v>46079</v>
      </c>
      <c r="E100" s="9">
        <v>0.79027777777777775</v>
      </c>
      <c r="F100" t="s">
        <v>184</v>
      </c>
      <c r="G100" t="s">
        <v>167</v>
      </c>
      <c r="H100">
        <v>86904</v>
      </c>
      <c r="I100">
        <v>987301</v>
      </c>
      <c r="J100" s="6">
        <v>20</v>
      </c>
    </row>
    <row r="101" spans="4:10" hidden="1" x14ac:dyDescent="0.25">
      <c r="D101" s="8">
        <v>46079</v>
      </c>
      <c r="E101" s="9">
        <v>0.95347222222222228</v>
      </c>
      <c r="F101" t="s">
        <v>184</v>
      </c>
      <c r="G101" t="s">
        <v>87</v>
      </c>
      <c r="H101">
        <v>610830</v>
      </c>
      <c r="I101">
        <v>675637</v>
      </c>
      <c r="J101" s="6">
        <v>20</v>
      </c>
    </row>
    <row r="102" spans="4:10" hidden="1" x14ac:dyDescent="0.25">
      <c r="D102" s="8">
        <v>46079</v>
      </c>
      <c r="E102" s="9">
        <v>0.95138888888888884</v>
      </c>
      <c r="F102" t="s">
        <v>199</v>
      </c>
      <c r="G102" t="s">
        <v>87</v>
      </c>
      <c r="H102">
        <v>610827</v>
      </c>
      <c r="I102">
        <v>111819</v>
      </c>
      <c r="J102" s="6">
        <v>20</v>
      </c>
    </row>
    <row r="103" spans="4:10" hidden="1" x14ac:dyDescent="0.25">
      <c r="D103" s="8">
        <v>46079</v>
      </c>
      <c r="E103" s="9">
        <v>0.88472222222222219</v>
      </c>
      <c r="F103" t="s">
        <v>184</v>
      </c>
      <c r="G103" t="s">
        <v>167</v>
      </c>
      <c r="H103">
        <v>86965</v>
      </c>
      <c r="I103">
        <v>108532</v>
      </c>
      <c r="J103" s="6">
        <v>20</v>
      </c>
    </row>
    <row r="104" spans="4:10" hidden="1" x14ac:dyDescent="0.25">
      <c r="D104" s="8">
        <v>46079</v>
      </c>
      <c r="E104" s="9">
        <v>0.94513888888888886</v>
      </c>
      <c r="F104" t="s">
        <v>184</v>
      </c>
      <c r="G104" t="s">
        <v>167</v>
      </c>
      <c r="H104">
        <v>610823</v>
      </c>
      <c r="I104">
        <v>640423</v>
      </c>
      <c r="J104" s="6">
        <v>20</v>
      </c>
    </row>
    <row r="105" spans="4:10" hidden="1" x14ac:dyDescent="0.25">
      <c r="D105" s="8">
        <v>46079</v>
      </c>
      <c r="E105" s="9">
        <v>0.77708333333333335</v>
      </c>
      <c r="F105" t="s">
        <v>166</v>
      </c>
      <c r="G105" t="s">
        <v>236</v>
      </c>
      <c r="H105">
        <v>610720</v>
      </c>
      <c r="I105">
        <v>820821</v>
      </c>
      <c r="J105" s="6">
        <v>20</v>
      </c>
    </row>
    <row r="106" spans="4:10" hidden="1" x14ac:dyDescent="0.25">
      <c r="D106" s="8">
        <v>46079</v>
      </c>
      <c r="E106" s="9">
        <v>0.1701388888888889</v>
      </c>
      <c r="F106" t="s">
        <v>166</v>
      </c>
      <c r="G106" t="s">
        <v>236</v>
      </c>
      <c r="H106">
        <v>374135</v>
      </c>
      <c r="I106">
        <v>95426</v>
      </c>
      <c r="J106" s="6">
        <v>20</v>
      </c>
    </row>
    <row r="107" spans="4:10" hidden="1" x14ac:dyDescent="0.25">
      <c r="D107" s="8">
        <v>46079</v>
      </c>
      <c r="E107" s="9">
        <v>0.88124999999999998</v>
      </c>
      <c r="F107" t="s">
        <v>184</v>
      </c>
      <c r="G107" t="s">
        <v>236</v>
      </c>
      <c r="H107">
        <v>86962</v>
      </c>
      <c r="I107" t="s">
        <v>252</v>
      </c>
      <c r="J107" s="6">
        <v>20</v>
      </c>
    </row>
    <row r="108" spans="4:10" hidden="1" x14ac:dyDescent="0.25">
      <c r="D108" s="8">
        <v>46079</v>
      </c>
      <c r="E108" s="9">
        <v>0.97152777777777777</v>
      </c>
      <c r="F108" t="s">
        <v>199</v>
      </c>
      <c r="G108" t="s">
        <v>249</v>
      </c>
      <c r="H108">
        <v>610836</v>
      </c>
      <c r="I108">
        <v>220883</v>
      </c>
      <c r="J108" s="6">
        <v>20</v>
      </c>
    </row>
    <row r="109" spans="4:10" hidden="1" x14ac:dyDescent="0.25">
      <c r="D109" s="8">
        <v>46079</v>
      </c>
      <c r="E109" s="9">
        <v>0.26111111111111113</v>
      </c>
      <c r="F109" t="s">
        <v>184</v>
      </c>
      <c r="G109" t="s">
        <v>236</v>
      </c>
      <c r="H109">
        <v>610491</v>
      </c>
      <c r="I109">
        <v>92514</v>
      </c>
      <c r="J109" s="6">
        <v>20</v>
      </c>
    </row>
    <row r="110" spans="4:10" hidden="1" x14ac:dyDescent="0.25">
      <c r="D110" s="8">
        <v>46079</v>
      </c>
      <c r="E110" s="9">
        <v>0.32291666666666669</v>
      </c>
      <c r="F110" t="s">
        <v>184</v>
      </c>
      <c r="G110" t="s">
        <v>236</v>
      </c>
      <c r="H110">
        <v>610529</v>
      </c>
      <c r="I110" t="s">
        <v>256</v>
      </c>
      <c r="J110" s="6">
        <v>20</v>
      </c>
    </row>
    <row r="111" spans="4:10" hidden="1" x14ac:dyDescent="0.25">
      <c r="D111" s="8">
        <v>46079</v>
      </c>
      <c r="E111" s="9">
        <v>0.34375</v>
      </c>
      <c r="F111" t="s">
        <v>184</v>
      </c>
      <c r="G111" t="s">
        <v>236</v>
      </c>
      <c r="H111">
        <v>610538</v>
      </c>
      <c r="I111">
        <v>32877</v>
      </c>
      <c r="J111" s="6">
        <v>20</v>
      </c>
    </row>
    <row r="112" spans="4:10" hidden="1" x14ac:dyDescent="0.25">
      <c r="D112" s="8">
        <v>46079</v>
      </c>
      <c r="E112" s="9">
        <v>0.85347222222222219</v>
      </c>
      <c r="F112" t="s">
        <v>184</v>
      </c>
      <c r="G112" t="s">
        <v>167</v>
      </c>
      <c r="H112">
        <v>877751</v>
      </c>
      <c r="I112">
        <v>667158</v>
      </c>
      <c r="J112" s="6">
        <v>20.67</v>
      </c>
    </row>
    <row r="113" spans="4:10" hidden="1" x14ac:dyDescent="0.25">
      <c r="D113" s="8">
        <v>46079</v>
      </c>
      <c r="E113" s="9">
        <v>0.55972222222222223</v>
      </c>
      <c r="F113" t="s">
        <v>184</v>
      </c>
      <c r="G113" t="s">
        <v>236</v>
      </c>
      <c r="H113">
        <v>86811</v>
      </c>
      <c r="I113">
        <v>69494</v>
      </c>
      <c r="J113" s="6">
        <v>21.5</v>
      </c>
    </row>
    <row r="114" spans="4:10" hidden="1" x14ac:dyDescent="0.25">
      <c r="D114" s="8">
        <v>46079</v>
      </c>
      <c r="E114" s="9">
        <v>0.52638888888888891</v>
      </c>
      <c r="F114" t="s">
        <v>184</v>
      </c>
      <c r="G114" t="s">
        <v>236</v>
      </c>
      <c r="H114">
        <v>610627</v>
      </c>
      <c r="I114" t="s">
        <v>264</v>
      </c>
      <c r="J114" s="6">
        <v>22.2</v>
      </c>
    </row>
    <row r="115" spans="4:10" hidden="1" x14ac:dyDescent="0.25">
      <c r="D115" s="8">
        <v>46079</v>
      </c>
      <c r="E115" s="9">
        <v>0.68055555555555558</v>
      </c>
      <c r="F115" t="s">
        <v>199</v>
      </c>
      <c r="G115" t="s">
        <v>87</v>
      </c>
      <c r="H115">
        <v>371179</v>
      </c>
      <c r="I115">
        <v>384258</v>
      </c>
      <c r="J115" s="6">
        <v>23.17</v>
      </c>
    </row>
    <row r="116" spans="4:10" hidden="1" x14ac:dyDescent="0.25">
      <c r="D116" s="8">
        <v>46079</v>
      </c>
      <c r="E116" s="9">
        <v>0.51736111111111116</v>
      </c>
      <c r="F116" t="s">
        <v>199</v>
      </c>
      <c r="G116" t="s">
        <v>87</v>
      </c>
      <c r="H116">
        <v>610620</v>
      </c>
      <c r="I116">
        <v>540140</v>
      </c>
      <c r="J116" s="6">
        <v>23.39</v>
      </c>
    </row>
    <row r="117" spans="4:10" hidden="1" x14ac:dyDescent="0.25">
      <c r="D117" s="8">
        <v>46079</v>
      </c>
      <c r="E117" s="9">
        <v>0.42499999999999999</v>
      </c>
      <c r="F117" t="s">
        <v>184</v>
      </c>
      <c r="G117" t="s">
        <v>236</v>
      </c>
      <c r="H117">
        <v>877643</v>
      </c>
      <c r="I117">
        <v>97004</v>
      </c>
      <c r="J117" s="6">
        <v>23.91</v>
      </c>
    </row>
    <row r="118" spans="4:10" hidden="1" x14ac:dyDescent="0.25">
      <c r="D118" s="8">
        <v>46079</v>
      </c>
      <c r="E118" s="9">
        <v>0.40694444444444444</v>
      </c>
      <c r="F118" t="s">
        <v>184</v>
      </c>
      <c r="G118" t="s">
        <v>236</v>
      </c>
      <c r="H118">
        <v>877632</v>
      </c>
      <c r="I118" t="s">
        <v>254</v>
      </c>
      <c r="J118" s="6">
        <v>24.15</v>
      </c>
    </row>
    <row r="119" spans="4:10" hidden="1" x14ac:dyDescent="0.25">
      <c r="D119" s="8">
        <v>46079</v>
      </c>
      <c r="E119" s="9">
        <v>0.59375</v>
      </c>
      <c r="F119" t="s">
        <v>184</v>
      </c>
      <c r="G119" t="s">
        <v>87</v>
      </c>
      <c r="H119">
        <v>371145</v>
      </c>
      <c r="I119" t="s">
        <v>203</v>
      </c>
      <c r="J119" s="6">
        <v>24.35</v>
      </c>
    </row>
    <row r="120" spans="4:10" hidden="1" x14ac:dyDescent="0.25">
      <c r="D120" s="8">
        <v>46079</v>
      </c>
      <c r="E120" s="9">
        <v>0.28125</v>
      </c>
      <c r="F120" t="s">
        <v>166</v>
      </c>
      <c r="G120" t="s">
        <v>167</v>
      </c>
      <c r="H120">
        <v>877541</v>
      </c>
      <c r="I120">
        <v>639648</v>
      </c>
      <c r="J120" s="6">
        <v>25</v>
      </c>
    </row>
    <row r="121" spans="4:10" hidden="1" x14ac:dyDescent="0.25">
      <c r="D121" s="8">
        <v>46079</v>
      </c>
      <c r="E121" s="9">
        <v>0.5395833333333333</v>
      </c>
      <c r="F121" t="s">
        <v>166</v>
      </c>
      <c r="G121" t="s">
        <v>87</v>
      </c>
      <c r="H121">
        <v>599883</v>
      </c>
      <c r="I121">
        <v>383198</v>
      </c>
      <c r="J121" s="6">
        <v>25</v>
      </c>
    </row>
    <row r="122" spans="4:10" hidden="1" x14ac:dyDescent="0.25">
      <c r="D122" s="8">
        <v>46079</v>
      </c>
      <c r="E122" s="9">
        <v>0.75972222222222219</v>
      </c>
      <c r="F122" t="s">
        <v>184</v>
      </c>
      <c r="G122" t="s">
        <v>87</v>
      </c>
      <c r="H122">
        <v>610707</v>
      </c>
      <c r="I122" t="s">
        <v>215</v>
      </c>
      <c r="J122" s="6">
        <v>25</v>
      </c>
    </row>
    <row r="123" spans="4:10" hidden="1" x14ac:dyDescent="0.25">
      <c r="D123" s="8">
        <v>46079</v>
      </c>
      <c r="E123" s="9">
        <v>0.76736111111111116</v>
      </c>
      <c r="F123" t="s">
        <v>184</v>
      </c>
      <c r="G123" t="s">
        <v>167</v>
      </c>
      <c r="H123">
        <v>86895</v>
      </c>
      <c r="I123">
        <v>625896</v>
      </c>
      <c r="J123" s="6">
        <v>25</v>
      </c>
    </row>
    <row r="124" spans="4:10" hidden="1" x14ac:dyDescent="0.25">
      <c r="D124" s="8">
        <v>46079</v>
      </c>
      <c r="E124" s="9">
        <v>0.89444444444444449</v>
      </c>
      <c r="F124" t="s">
        <v>184</v>
      </c>
      <c r="G124" t="s">
        <v>167</v>
      </c>
      <c r="H124">
        <v>877783</v>
      </c>
      <c r="I124">
        <v>122699</v>
      </c>
      <c r="J124" s="6">
        <v>25</v>
      </c>
    </row>
    <row r="125" spans="4:10" hidden="1" x14ac:dyDescent="0.25">
      <c r="D125" s="8">
        <v>46079</v>
      </c>
      <c r="E125" s="9">
        <v>0.9291666666666667</v>
      </c>
      <c r="F125" t="s">
        <v>184</v>
      </c>
      <c r="G125" t="s">
        <v>167</v>
      </c>
      <c r="H125">
        <v>610815</v>
      </c>
      <c r="I125">
        <v>309057</v>
      </c>
      <c r="J125" s="6">
        <v>25</v>
      </c>
    </row>
    <row r="126" spans="4:10" hidden="1" x14ac:dyDescent="0.25">
      <c r="D126" s="8">
        <v>46079</v>
      </c>
      <c r="E126" s="9">
        <v>0.24236111111111111</v>
      </c>
      <c r="F126" t="s">
        <v>184</v>
      </c>
      <c r="G126" t="s">
        <v>236</v>
      </c>
      <c r="H126">
        <v>373930</v>
      </c>
      <c r="I126">
        <v>73579</v>
      </c>
      <c r="J126" s="6">
        <v>25</v>
      </c>
    </row>
    <row r="127" spans="4:10" hidden="1" x14ac:dyDescent="0.25">
      <c r="D127" s="8">
        <v>46079</v>
      </c>
      <c r="E127" s="9">
        <v>0.74652777777777779</v>
      </c>
      <c r="F127" t="s">
        <v>166</v>
      </c>
      <c r="G127" t="s">
        <v>236</v>
      </c>
      <c r="H127">
        <v>86886</v>
      </c>
      <c r="I127">
        <v>43396</v>
      </c>
      <c r="J127" s="6">
        <v>25.14</v>
      </c>
    </row>
    <row r="128" spans="4:10" hidden="1" x14ac:dyDescent="0.25">
      <c r="D128" s="8">
        <v>46079</v>
      </c>
      <c r="E128" s="9">
        <v>0.75486111111111109</v>
      </c>
      <c r="F128" t="s">
        <v>166</v>
      </c>
      <c r="G128" t="s">
        <v>87</v>
      </c>
      <c r="H128">
        <v>877703</v>
      </c>
      <c r="I128">
        <v>74685</v>
      </c>
      <c r="J128" s="6">
        <v>25.59</v>
      </c>
    </row>
    <row r="129" spans="4:10" hidden="1" x14ac:dyDescent="0.25">
      <c r="D129" s="8">
        <v>46079</v>
      </c>
      <c r="E129" s="9">
        <v>8.0555555555555561E-2</v>
      </c>
      <c r="F129" t="s">
        <v>184</v>
      </c>
      <c r="G129" t="s">
        <v>87</v>
      </c>
      <c r="H129">
        <v>374108</v>
      </c>
      <c r="I129" t="s">
        <v>186</v>
      </c>
      <c r="J129" s="6">
        <v>25.71</v>
      </c>
    </row>
    <row r="130" spans="4:10" hidden="1" x14ac:dyDescent="0.25">
      <c r="D130" s="8">
        <v>46079</v>
      </c>
      <c r="E130" s="9">
        <v>0.36319444444444443</v>
      </c>
      <c r="F130" t="s">
        <v>199</v>
      </c>
      <c r="G130" t="s">
        <v>87</v>
      </c>
      <c r="H130">
        <v>371096</v>
      </c>
      <c r="I130">
        <v>380334</v>
      </c>
      <c r="J130" s="6">
        <v>25.8</v>
      </c>
    </row>
    <row r="131" spans="4:10" hidden="1" x14ac:dyDescent="0.25">
      <c r="D131" s="8">
        <v>46079</v>
      </c>
      <c r="E131" s="9">
        <v>0.85833333333333328</v>
      </c>
      <c r="F131" t="s">
        <v>184</v>
      </c>
      <c r="G131" t="s">
        <v>167</v>
      </c>
      <c r="H131">
        <v>86951</v>
      </c>
      <c r="I131">
        <v>563371</v>
      </c>
      <c r="J131" s="6">
        <v>25.8</v>
      </c>
    </row>
    <row r="132" spans="4:10" hidden="1" x14ac:dyDescent="0.25">
      <c r="D132" s="8">
        <v>46079</v>
      </c>
      <c r="E132" s="9">
        <v>0.22430555555555556</v>
      </c>
      <c r="F132" t="s">
        <v>184</v>
      </c>
      <c r="G132" t="s">
        <v>167</v>
      </c>
      <c r="H132">
        <v>374161</v>
      </c>
      <c r="I132">
        <v>333579</v>
      </c>
      <c r="J132" s="6">
        <v>26</v>
      </c>
    </row>
    <row r="133" spans="4:10" hidden="1" x14ac:dyDescent="0.25">
      <c r="D133" s="8">
        <v>46079</v>
      </c>
      <c r="E133" s="9">
        <v>0.54305555555555551</v>
      </c>
      <c r="F133" t="s">
        <v>166</v>
      </c>
      <c r="G133" t="s">
        <v>236</v>
      </c>
      <c r="H133">
        <v>86796</v>
      </c>
      <c r="I133">
        <v>794446</v>
      </c>
      <c r="J133" s="6">
        <v>26.14</v>
      </c>
    </row>
    <row r="134" spans="4:10" hidden="1" x14ac:dyDescent="0.25">
      <c r="D134" s="8">
        <v>46079</v>
      </c>
      <c r="E134" s="9">
        <v>0.87708333333333333</v>
      </c>
      <c r="F134" t="s">
        <v>184</v>
      </c>
      <c r="G134" t="s">
        <v>167</v>
      </c>
      <c r="H134">
        <v>877770</v>
      </c>
      <c r="I134">
        <v>484246</v>
      </c>
      <c r="J134" s="6">
        <v>26.15</v>
      </c>
    </row>
    <row r="135" spans="4:10" hidden="1" x14ac:dyDescent="0.25">
      <c r="D135" s="8">
        <v>46079</v>
      </c>
      <c r="E135" s="9">
        <v>0.97152777777777777</v>
      </c>
      <c r="F135" t="s">
        <v>184</v>
      </c>
      <c r="G135" t="s">
        <v>87</v>
      </c>
      <c r="H135">
        <v>374404</v>
      </c>
      <c r="I135" t="s">
        <v>235</v>
      </c>
      <c r="J135" s="6">
        <v>26.35</v>
      </c>
    </row>
    <row r="136" spans="4:10" hidden="1" x14ac:dyDescent="0.25">
      <c r="D136" s="8">
        <v>46079</v>
      </c>
      <c r="E136" s="9">
        <v>0.47638888888888886</v>
      </c>
      <c r="F136" t="s">
        <v>166</v>
      </c>
      <c r="G136" t="s">
        <v>87</v>
      </c>
      <c r="H136">
        <v>86759</v>
      </c>
      <c r="I136">
        <v>656539</v>
      </c>
      <c r="J136" s="6">
        <v>26.83</v>
      </c>
    </row>
    <row r="137" spans="4:10" hidden="1" x14ac:dyDescent="0.25">
      <c r="D137" s="8">
        <v>46079</v>
      </c>
      <c r="E137" s="9">
        <v>0.94374999999999998</v>
      </c>
      <c r="F137" t="s">
        <v>166</v>
      </c>
      <c r="G137" t="s">
        <v>167</v>
      </c>
      <c r="H137">
        <v>374382</v>
      </c>
      <c r="I137">
        <v>763017</v>
      </c>
      <c r="J137" s="6">
        <v>27.1</v>
      </c>
    </row>
    <row r="138" spans="4:10" hidden="1" x14ac:dyDescent="0.25">
      <c r="D138" s="8">
        <v>46079</v>
      </c>
      <c r="E138" s="9">
        <v>0.32708333333333334</v>
      </c>
      <c r="F138" t="s">
        <v>166</v>
      </c>
      <c r="G138" t="s">
        <v>236</v>
      </c>
      <c r="H138">
        <v>371082</v>
      </c>
      <c r="I138" t="s">
        <v>241</v>
      </c>
      <c r="J138" s="6">
        <v>27.22</v>
      </c>
    </row>
    <row r="139" spans="4:10" hidden="1" x14ac:dyDescent="0.25">
      <c r="D139" s="8">
        <v>46079</v>
      </c>
      <c r="E139" s="9">
        <v>0.39166666666666666</v>
      </c>
      <c r="F139" t="s">
        <v>184</v>
      </c>
      <c r="G139" t="s">
        <v>236</v>
      </c>
      <c r="H139">
        <v>877618</v>
      </c>
      <c r="I139">
        <v>793092</v>
      </c>
      <c r="J139" s="6">
        <v>27.44</v>
      </c>
    </row>
    <row r="140" spans="4:10" hidden="1" x14ac:dyDescent="0.25">
      <c r="D140" s="8">
        <v>46079</v>
      </c>
      <c r="E140" s="9">
        <v>0.70902777777777781</v>
      </c>
      <c r="F140" t="s">
        <v>166</v>
      </c>
      <c r="G140" t="s">
        <v>236</v>
      </c>
      <c r="H140">
        <v>754186</v>
      </c>
      <c r="I140">
        <v>95099</v>
      </c>
      <c r="J140" s="6">
        <v>27.48</v>
      </c>
    </row>
    <row r="141" spans="4:10" hidden="1" x14ac:dyDescent="0.25">
      <c r="D141" s="8">
        <v>46079</v>
      </c>
      <c r="E141" s="9">
        <v>0.55625000000000002</v>
      </c>
      <c r="F141" t="s">
        <v>166</v>
      </c>
      <c r="G141" t="s">
        <v>87</v>
      </c>
      <c r="H141">
        <v>374106</v>
      </c>
      <c r="I141">
        <v>310575</v>
      </c>
      <c r="J141" s="6">
        <v>28</v>
      </c>
    </row>
    <row r="142" spans="4:10" hidden="1" x14ac:dyDescent="0.25">
      <c r="D142" s="8">
        <v>46079</v>
      </c>
      <c r="E142" s="9">
        <v>0.34236111111111112</v>
      </c>
      <c r="F142" t="s">
        <v>184</v>
      </c>
      <c r="G142" t="s">
        <v>236</v>
      </c>
      <c r="H142">
        <v>877587</v>
      </c>
      <c r="I142">
        <v>26137</v>
      </c>
      <c r="J142" s="6">
        <v>29.14</v>
      </c>
    </row>
    <row r="143" spans="4:10" hidden="1" x14ac:dyDescent="0.25">
      <c r="D143" s="8">
        <v>46079</v>
      </c>
      <c r="E143" s="9">
        <v>0.39444444444444443</v>
      </c>
      <c r="F143" t="s">
        <v>184</v>
      </c>
      <c r="G143" t="s">
        <v>167</v>
      </c>
      <c r="H143">
        <v>754083</v>
      </c>
      <c r="I143">
        <v>484356</v>
      </c>
      <c r="J143" s="6">
        <v>29.24</v>
      </c>
    </row>
    <row r="144" spans="4:10" hidden="1" x14ac:dyDescent="0.25">
      <c r="D144" s="8">
        <v>46079</v>
      </c>
      <c r="E144" s="9">
        <v>0.24791666666666667</v>
      </c>
      <c r="F144" t="s">
        <v>184</v>
      </c>
      <c r="G144" t="s">
        <v>236</v>
      </c>
      <c r="H144">
        <v>754018</v>
      </c>
      <c r="I144">
        <v>652283</v>
      </c>
      <c r="J144" s="6">
        <v>29.45</v>
      </c>
    </row>
    <row r="145" spans="1:10" hidden="1" x14ac:dyDescent="0.25">
      <c r="D145" s="8">
        <v>46079</v>
      </c>
      <c r="E145" s="9">
        <v>0.75347222222222221</v>
      </c>
      <c r="F145" t="s">
        <v>184</v>
      </c>
      <c r="G145" t="s">
        <v>87</v>
      </c>
      <c r="H145">
        <v>371211</v>
      </c>
      <c r="I145" t="s">
        <v>230</v>
      </c>
      <c r="J145" s="6">
        <v>29.53</v>
      </c>
    </row>
    <row r="146" spans="1:10" x14ac:dyDescent="0.25">
      <c r="A146" t="s">
        <v>107</v>
      </c>
      <c r="B146" t="s">
        <v>108</v>
      </c>
      <c r="C146" t="s">
        <v>104</v>
      </c>
      <c r="D146" s="8">
        <v>46079</v>
      </c>
      <c r="E146" s="9">
        <v>0.34583333333333333</v>
      </c>
      <c r="F146" t="s">
        <v>92</v>
      </c>
      <c r="G146" t="s">
        <v>92</v>
      </c>
      <c r="H146">
        <v>365202</v>
      </c>
      <c r="J146" s="6">
        <v>29.84</v>
      </c>
    </row>
    <row r="147" spans="1:10" hidden="1" x14ac:dyDescent="0.25">
      <c r="D147" s="8">
        <v>46079</v>
      </c>
      <c r="E147" s="9">
        <v>0.3611111111111111</v>
      </c>
      <c r="F147" t="s">
        <v>166</v>
      </c>
      <c r="G147" t="s">
        <v>167</v>
      </c>
      <c r="H147">
        <v>599817</v>
      </c>
      <c r="I147" t="s">
        <v>174</v>
      </c>
      <c r="J147" s="6">
        <v>29.98</v>
      </c>
    </row>
    <row r="148" spans="1:10" x14ac:dyDescent="0.25">
      <c r="A148" t="s">
        <v>111</v>
      </c>
      <c r="B148" t="s">
        <v>112</v>
      </c>
      <c r="C148" t="s">
        <v>113</v>
      </c>
      <c r="D148" s="8">
        <v>46079</v>
      </c>
      <c r="E148" s="9">
        <v>0.77986111111111112</v>
      </c>
      <c r="F148" t="s">
        <v>92</v>
      </c>
      <c r="G148" t="s">
        <v>92</v>
      </c>
      <c r="H148">
        <v>2046592</v>
      </c>
      <c r="J148" s="6">
        <v>30</v>
      </c>
    </row>
    <row r="149" spans="1:10" x14ac:dyDescent="0.25">
      <c r="A149" t="s">
        <v>116</v>
      </c>
      <c r="B149" t="s">
        <v>117</v>
      </c>
      <c r="C149" t="s">
        <v>113</v>
      </c>
      <c r="D149" s="8">
        <v>46079</v>
      </c>
      <c r="E149" s="9">
        <v>0.78194444444444444</v>
      </c>
      <c r="F149" t="s">
        <v>92</v>
      </c>
      <c r="G149" t="s">
        <v>92</v>
      </c>
      <c r="H149">
        <v>2063751</v>
      </c>
      <c r="J149" s="6">
        <v>30</v>
      </c>
    </row>
    <row r="150" spans="1:10" x14ac:dyDescent="0.25">
      <c r="A150" t="s">
        <v>123</v>
      </c>
      <c r="B150" t="s">
        <v>124</v>
      </c>
      <c r="C150" t="s">
        <v>98</v>
      </c>
      <c r="D150" s="8">
        <v>46079</v>
      </c>
      <c r="E150" s="9">
        <v>0.78888888888888886</v>
      </c>
      <c r="F150" t="s">
        <v>92</v>
      </c>
      <c r="G150" t="s">
        <v>92</v>
      </c>
      <c r="H150">
        <v>2104445</v>
      </c>
      <c r="J150" s="6">
        <v>30</v>
      </c>
    </row>
    <row r="151" spans="1:10" x14ac:dyDescent="0.25">
      <c r="A151" t="s">
        <v>141</v>
      </c>
      <c r="B151" t="s">
        <v>142</v>
      </c>
      <c r="C151" t="s">
        <v>98</v>
      </c>
      <c r="D151" s="8">
        <v>46079</v>
      </c>
      <c r="E151" s="9">
        <v>0.81736111111111109</v>
      </c>
      <c r="F151" t="s">
        <v>92</v>
      </c>
      <c r="G151" t="s">
        <v>92</v>
      </c>
      <c r="H151">
        <v>2232782</v>
      </c>
      <c r="J151" s="6">
        <v>30</v>
      </c>
    </row>
    <row r="152" spans="1:10" x14ac:dyDescent="0.25">
      <c r="A152" t="s">
        <v>143</v>
      </c>
      <c r="B152" t="s">
        <v>144</v>
      </c>
      <c r="C152" t="s">
        <v>95</v>
      </c>
      <c r="D152" s="8">
        <v>46079</v>
      </c>
      <c r="E152" s="9">
        <v>0.83819444444444446</v>
      </c>
      <c r="F152" t="s">
        <v>92</v>
      </c>
      <c r="G152" t="s">
        <v>92</v>
      </c>
      <c r="H152">
        <v>2298133</v>
      </c>
      <c r="J152" s="6">
        <v>30</v>
      </c>
    </row>
    <row r="153" spans="1:10" x14ac:dyDescent="0.25">
      <c r="A153" t="s">
        <v>145</v>
      </c>
      <c r="B153" t="s">
        <v>146</v>
      </c>
      <c r="C153" t="s">
        <v>101</v>
      </c>
      <c r="D153" s="8">
        <v>46079</v>
      </c>
      <c r="E153" s="9">
        <v>0.83958333333333335</v>
      </c>
      <c r="F153" t="s">
        <v>92</v>
      </c>
      <c r="G153" t="s">
        <v>92</v>
      </c>
      <c r="H153">
        <v>2302351</v>
      </c>
      <c r="J153" s="6">
        <v>30</v>
      </c>
    </row>
    <row r="154" spans="1:10" x14ac:dyDescent="0.25">
      <c r="A154" t="s">
        <v>157</v>
      </c>
      <c r="B154" t="s">
        <v>158</v>
      </c>
      <c r="C154" t="s">
        <v>159</v>
      </c>
      <c r="D154" s="8">
        <v>46079</v>
      </c>
      <c r="E154" s="9">
        <v>0.8666666666666667</v>
      </c>
      <c r="F154" t="s">
        <v>92</v>
      </c>
      <c r="G154" t="s">
        <v>92</v>
      </c>
      <c r="H154">
        <v>2369942</v>
      </c>
      <c r="J154" s="6">
        <v>30</v>
      </c>
    </row>
    <row r="155" spans="1:10" hidden="1" x14ac:dyDescent="0.25">
      <c r="D155" s="8">
        <v>46079</v>
      </c>
      <c r="E155" s="9">
        <v>0.31388888888888888</v>
      </c>
      <c r="F155" t="s">
        <v>166</v>
      </c>
      <c r="G155" t="s">
        <v>167</v>
      </c>
      <c r="H155">
        <v>610525</v>
      </c>
      <c r="I155" t="s">
        <v>172</v>
      </c>
      <c r="J155" s="6">
        <v>30</v>
      </c>
    </row>
    <row r="156" spans="1:10" hidden="1" x14ac:dyDescent="0.25">
      <c r="D156" s="8">
        <v>46079</v>
      </c>
      <c r="E156" s="9">
        <v>0.3</v>
      </c>
      <c r="F156" t="s">
        <v>166</v>
      </c>
      <c r="G156" t="s">
        <v>167</v>
      </c>
      <c r="H156">
        <v>599794</v>
      </c>
      <c r="I156">
        <v>995400</v>
      </c>
      <c r="J156" s="6">
        <v>30</v>
      </c>
    </row>
    <row r="157" spans="1:10" hidden="1" x14ac:dyDescent="0.25">
      <c r="D157" s="8">
        <v>46079</v>
      </c>
      <c r="E157" s="9">
        <v>3.7499999999999999E-2</v>
      </c>
      <c r="F157" t="s">
        <v>166</v>
      </c>
      <c r="G157" t="s">
        <v>87</v>
      </c>
      <c r="H157">
        <v>374099</v>
      </c>
      <c r="I157">
        <v>103280</v>
      </c>
      <c r="J157" s="6">
        <v>30</v>
      </c>
    </row>
    <row r="158" spans="1:10" hidden="1" x14ac:dyDescent="0.25">
      <c r="D158" s="8">
        <v>46079</v>
      </c>
      <c r="E158" s="9">
        <v>0.49513888888888891</v>
      </c>
      <c r="F158" t="s">
        <v>166</v>
      </c>
      <c r="G158" t="s">
        <v>87</v>
      </c>
      <c r="H158">
        <v>877682</v>
      </c>
      <c r="I158">
        <v>142787</v>
      </c>
      <c r="J158" s="6">
        <v>30</v>
      </c>
    </row>
    <row r="159" spans="1:10" hidden="1" x14ac:dyDescent="0.25">
      <c r="D159" s="8">
        <v>46079</v>
      </c>
      <c r="E159" s="9">
        <v>0.2986111111111111</v>
      </c>
      <c r="F159" t="s">
        <v>166</v>
      </c>
      <c r="G159" t="s">
        <v>87</v>
      </c>
      <c r="H159">
        <v>610513</v>
      </c>
      <c r="I159">
        <v>597812</v>
      </c>
      <c r="J159" s="6">
        <v>30</v>
      </c>
    </row>
    <row r="160" spans="1:10" hidden="1" x14ac:dyDescent="0.25">
      <c r="D160" s="8">
        <v>46079</v>
      </c>
      <c r="E160" s="9">
        <v>0.47152777777777777</v>
      </c>
      <c r="F160" t="s">
        <v>166</v>
      </c>
      <c r="G160" t="s">
        <v>87</v>
      </c>
      <c r="H160">
        <v>599857</v>
      </c>
      <c r="I160">
        <v>193351</v>
      </c>
      <c r="J160" s="6">
        <v>30</v>
      </c>
    </row>
    <row r="161" spans="4:10" hidden="1" x14ac:dyDescent="0.25">
      <c r="D161" s="8">
        <v>46079</v>
      </c>
      <c r="E161" s="9">
        <v>0.48333333333333334</v>
      </c>
      <c r="F161" t="s">
        <v>166</v>
      </c>
      <c r="G161" t="s">
        <v>87</v>
      </c>
      <c r="H161">
        <v>599864</v>
      </c>
      <c r="I161">
        <v>365981</v>
      </c>
      <c r="J161" s="6">
        <v>30</v>
      </c>
    </row>
    <row r="162" spans="4:10" hidden="1" x14ac:dyDescent="0.25">
      <c r="D162" s="8">
        <v>46079</v>
      </c>
      <c r="E162" s="9">
        <v>0.38819444444444445</v>
      </c>
      <c r="F162" t="s">
        <v>166</v>
      </c>
      <c r="G162" t="s">
        <v>87</v>
      </c>
      <c r="H162">
        <v>754075</v>
      </c>
      <c r="I162">
        <v>883223</v>
      </c>
      <c r="J162" s="6">
        <v>30</v>
      </c>
    </row>
    <row r="163" spans="4:10" hidden="1" x14ac:dyDescent="0.25">
      <c r="D163" s="8">
        <v>46079</v>
      </c>
      <c r="E163" s="9">
        <v>0.56666666666666665</v>
      </c>
      <c r="F163" t="s">
        <v>166</v>
      </c>
      <c r="G163" t="s">
        <v>167</v>
      </c>
      <c r="H163">
        <v>374177</v>
      </c>
      <c r="I163">
        <v>201656</v>
      </c>
      <c r="J163" s="6">
        <v>30</v>
      </c>
    </row>
    <row r="164" spans="4:10" hidden="1" x14ac:dyDescent="0.25">
      <c r="D164" s="8">
        <v>46079</v>
      </c>
      <c r="E164" s="9">
        <v>0.10138888888888889</v>
      </c>
      <c r="F164" t="s">
        <v>184</v>
      </c>
      <c r="G164" t="s">
        <v>87</v>
      </c>
      <c r="H164">
        <v>374112</v>
      </c>
      <c r="I164">
        <v>499293</v>
      </c>
      <c r="J164" s="6">
        <v>30</v>
      </c>
    </row>
    <row r="165" spans="4:10" hidden="1" x14ac:dyDescent="0.25">
      <c r="D165" s="8">
        <v>46079</v>
      </c>
      <c r="E165" s="9">
        <v>0.31597222222222221</v>
      </c>
      <c r="F165" t="s">
        <v>184</v>
      </c>
      <c r="G165" t="s">
        <v>87</v>
      </c>
      <c r="H165">
        <v>599798</v>
      </c>
      <c r="I165" t="s">
        <v>197</v>
      </c>
      <c r="J165" s="6">
        <v>30</v>
      </c>
    </row>
    <row r="166" spans="4:10" hidden="1" x14ac:dyDescent="0.25">
      <c r="D166" s="8">
        <v>46079</v>
      </c>
      <c r="E166" s="9">
        <v>0.27986111111111112</v>
      </c>
      <c r="F166" t="s">
        <v>199</v>
      </c>
      <c r="G166" t="s">
        <v>87</v>
      </c>
      <c r="H166">
        <v>371044</v>
      </c>
      <c r="I166">
        <v>434880</v>
      </c>
      <c r="J166" s="6">
        <v>30</v>
      </c>
    </row>
    <row r="167" spans="4:10" hidden="1" x14ac:dyDescent="0.25">
      <c r="D167" s="8">
        <v>46079</v>
      </c>
      <c r="E167" s="9">
        <v>0.31041666666666667</v>
      </c>
      <c r="F167" t="s">
        <v>199</v>
      </c>
      <c r="G167" t="s">
        <v>87</v>
      </c>
      <c r="H167">
        <v>371072</v>
      </c>
      <c r="I167">
        <v>731044</v>
      </c>
      <c r="J167" s="6">
        <v>30</v>
      </c>
    </row>
    <row r="168" spans="4:10" hidden="1" x14ac:dyDescent="0.25">
      <c r="D168" s="8">
        <v>46079</v>
      </c>
      <c r="E168" s="9">
        <v>0.18819444444444444</v>
      </c>
      <c r="F168" t="s">
        <v>184</v>
      </c>
      <c r="G168" t="s">
        <v>167</v>
      </c>
      <c r="H168">
        <v>374141</v>
      </c>
      <c r="I168">
        <v>740495</v>
      </c>
      <c r="J168" s="6">
        <v>30</v>
      </c>
    </row>
    <row r="169" spans="4:10" hidden="1" x14ac:dyDescent="0.25">
      <c r="D169" s="8">
        <v>46079</v>
      </c>
      <c r="E169" s="9">
        <v>0.29444444444444445</v>
      </c>
      <c r="F169" t="s">
        <v>184</v>
      </c>
      <c r="G169" t="s">
        <v>167</v>
      </c>
      <c r="H169">
        <v>371053</v>
      </c>
      <c r="I169">
        <v>103934</v>
      </c>
      <c r="J169" s="6">
        <v>30</v>
      </c>
    </row>
    <row r="170" spans="4:10" hidden="1" x14ac:dyDescent="0.25">
      <c r="D170" s="8">
        <v>46079</v>
      </c>
      <c r="E170" s="9">
        <v>0.25763888888888886</v>
      </c>
      <c r="F170" t="s">
        <v>184</v>
      </c>
      <c r="G170" t="s">
        <v>167</v>
      </c>
      <c r="H170">
        <v>610488</v>
      </c>
      <c r="I170">
        <v>429934</v>
      </c>
      <c r="J170" s="6">
        <v>30</v>
      </c>
    </row>
    <row r="171" spans="4:10" hidden="1" x14ac:dyDescent="0.25">
      <c r="D171" s="8">
        <v>46079</v>
      </c>
      <c r="E171" s="9">
        <v>0.24305555555555555</v>
      </c>
      <c r="F171" t="s">
        <v>184</v>
      </c>
      <c r="G171" t="s">
        <v>167</v>
      </c>
      <c r="H171">
        <v>599758</v>
      </c>
      <c r="I171">
        <v>150264</v>
      </c>
      <c r="J171" s="6">
        <v>30</v>
      </c>
    </row>
    <row r="172" spans="4:10" hidden="1" x14ac:dyDescent="0.25">
      <c r="D172" s="8">
        <v>46079</v>
      </c>
      <c r="E172" s="9">
        <v>0.33055555555555555</v>
      </c>
      <c r="F172" t="s">
        <v>184</v>
      </c>
      <c r="G172" t="s">
        <v>167</v>
      </c>
      <c r="H172">
        <v>599809</v>
      </c>
      <c r="I172">
        <v>455085</v>
      </c>
      <c r="J172" s="6">
        <v>30</v>
      </c>
    </row>
    <row r="173" spans="4:10" hidden="1" x14ac:dyDescent="0.25">
      <c r="D173" s="8">
        <v>46079</v>
      </c>
      <c r="E173" s="9">
        <v>0.40486111111111112</v>
      </c>
      <c r="F173" t="s">
        <v>184</v>
      </c>
      <c r="G173" t="s">
        <v>167</v>
      </c>
      <c r="H173">
        <v>599830</v>
      </c>
      <c r="I173">
        <v>399466</v>
      </c>
      <c r="J173" s="6">
        <v>30</v>
      </c>
    </row>
    <row r="174" spans="4:10" hidden="1" x14ac:dyDescent="0.25">
      <c r="D174" s="8">
        <v>46079</v>
      </c>
      <c r="E174" s="9">
        <v>0.26111111111111113</v>
      </c>
      <c r="F174" t="s">
        <v>184</v>
      </c>
      <c r="G174" t="s">
        <v>167</v>
      </c>
      <c r="H174">
        <v>754021</v>
      </c>
      <c r="I174">
        <v>598051</v>
      </c>
      <c r="J174" s="6">
        <v>30</v>
      </c>
    </row>
    <row r="175" spans="4:10" hidden="1" x14ac:dyDescent="0.25">
      <c r="D175" s="8">
        <v>46079</v>
      </c>
      <c r="E175" s="9">
        <v>0.6645833333333333</v>
      </c>
      <c r="F175" t="s">
        <v>184</v>
      </c>
      <c r="G175" t="s">
        <v>87</v>
      </c>
      <c r="H175">
        <v>754156</v>
      </c>
      <c r="I175">
        <v>574261</v>
      </c>
      <c r="J175" s="6">
        <v>30</v>
      </c>
    </row>
    <row r="176" spans="4:10" hidden="1" x14ac:dyDescent="0.25">
      <c r="D176" s="8">
        <v>46079</v>
      </c>
      <c r="E176" s="9">
        <v>0.53333333333333333</v>
      </c>
      <c r="F176" t="s">
        <v>199</v>
      </c>
      <c r="G176" t="s">
        <v>87</v>
      </c>
      <c r="H176">
        <v>599880</v>
      </c>
      <c r="I176">
        <v>875307</v>
      </c>
      <c r="J176" s="6">
        <v>30</v>
      </c>
    </row>
    <row r="177" spans="4:10" hidden="1" x14ac:dyDescent="0.25">
      <c r="D177" s="8">
        <v>46079</v>
      </c>
      <c r="E177" s="9">
        <v>0.54097222222222219</v>
      </c>
      <c r="F177" t="s">
        <v>184</v>
      </c>
      <c r="G177" t="s">
        <v>167</v>
      </c>
      <c r="H177">
        <v>86793</v>
      </c>
      <c r="I177">
        <v>10570</v>
      </c>
      <c r="J177" s="6">
        <v>30</v>
      </c>
    </row>
    <row r="178" spans="4:10" hidden="1" x14ac:dyDescent="0.25">
      <c r="D178" s="8">
        <v>46079</v>
      </c>
      <c r="E178" s="9">
        <v>0.59791666666666665</v>
      </c>
      <c r="F178" t="s">
        <v>199</v>
      </c>
      <c r="G178" t="s">
        <v>87</v>
      </c>
      <c r="H178">
        <v>374136</v>
      </c>
      <c r="I178">
        <v>33307</v>
      </c>
      <c r="J178" s="6">
        <v>30</v>
      </c>
    </row>
    <row r="179" spans="4:10" hidden="1" x14ac:dyDescent="0.25">
      <c r="D179" s="8">
        <v>46079</v>
      </c>
      <c r="E179" s="9">
        <v>0.74513888888888891</v>
      </c>
      <c r="F179" t="s">
        <v>184</v>
      </c>
      <c r="G179" t="s">
        <v>87</v>
      </c>
      <c r="H179">
        <v>371203</v>
      </c>
      <c r="I179" t="s">
        <v>214</v>
      </c>
      <c r="J179" s="6">
        <v>30</v>
      </c>
    </row>
    <row r="180" spans="4:10" hidden="1" x14ac:dyDescent="0.25">
      <c r="D180" s="8">
        <v>46079</v>
      </c>
      <c r="E180" s="9">
        <v>0.72083333333333333</v>
      </c>
      <c r="F180" t="s">
        <v>184</v>
      </c>
      <c r="G180" t="s">
        <v>87</v>
      </c>
      <c r="H180">
        <v>599944</v>
      </c>
      <c r="I180" t="s">
        <v>217</v>
      </c>
      <c r="J180" s="6">
        <v>30</v>
      </c>
    </row>
    <row r="181" spans="4:10" hidden="1" x14ac:dyDescent="0.25">
      <c r="D181" s="8">
        <v>46079</v>
      </c>
      <c r="E181" s="9">
        <v>0.70277777777777772</v>
      </c>
      <c r="F181" t="s">
        <v>184</v>
      </c>
      <c r="G181" t="s">
        <v>87</v>
      </c>
      <c r="H181">
        <v>754182</v>
      </c>
      <c r="I181" t="s">
        <v>219</v>
      </c>
      <c r="J181" s="6">
        <v>30</v>
      </c>
    </row>
    <row r="182" spans="4:10" hidden="1" x14ac:dyDescent="0.25">
      <c r="D182" s="8">
        <v>46079</v>
      </c>
      <c r="E182" s="9">
        <v>0.75208333333333333</v>
      </c>
      <c r="F182" t="s">
        <v>184</v>
      </c>
      <c r="G182" t="s">
        <v>167</v>
      </c>
      <c r="H182">
        <v>374208</v>
      </c>
      <c r="I182">
        <v>630387</v>
      </c>
      <c r="J182" s="6">
        <v>30</v>
      </c>
    </row>
    <row r="183" spans="4:10" hidden="1" x14ac:dyDescent="0.25">
      <c r="D183" s="8">
        <v>46079</v>
      </c>
      <c r="E183" s="9">
        <v>0.73263888888888884</v>
      </c>
      <c r="F183" t="s">
        <v>184</v>
      </c>
      <c r="G183" t="s">
        <v>167</v>
      </c>
      <c r="H183">
        <v>754199</v>
      </c>
      <c r="I183">
        <v>312903</v>
      </c>
      <c r="J183" s="6">
        <v>30</v>
      </c>
    </row>
    <row r="184" spans="4:10" hidden="1" x14ac:dyDescent="0.25">
      <c r="D184" s="8">
        <v>46079</v>
      </c>
      <c r="E184" s="9">
        <v>0.71875</v>
      </c>
      <c r="F184" t="s">
        <v>184</v>
      </c>
      <c r="G184" t="s">
        <v>167</v>
      </c>
      <c r="H184">
        <v>374206</v>
      </c>
      <c r="I184">
        <v>874790</v>
      </c>
      <c r="J184" s="6">
        <v>30</v>
      </c>
    </row>
    <row r="185" spans="4:10" hidden="1" x14ac:dyDescent="0.25">
      <c r="D185" s="8">
        <v>46079</v>
      </c>
      <c r="E185" s="9">
        <v>0.7729166666666667</v>
      </c>
      <c r="F185" t="s">
        <v>184</v>
      </c>
      <c r="G185" t="s">
        <v>167</v>
      </c>
      <c r="H185">
        <v>374246</v>
      </c>
      <c r="I185">
        <v>872422</v>
      </c>
      <c r="J185" s="6">
        <v>30</v>
      </c>
    </row>
    <row r="186" spans="4:10" hidden="1" x14ac:dyDescent="0.25">
      <c r="D186" s="8">
        <v>46079</v>
      </c>
      <c r="E186" s="9">
        <v>0.77638888888888891</v>
      </c>
      <c r="F186" t="s">
        <v>184</v>
      </c>
      <c r="G186" t="s">
        <v>167</v>
      </c>
      <c r="H186">
        <v>374248</v>
      </c>
      <c r="I186">
        <v>74215</v>
      </c>
      <c r="J186" s="6">
        <v>30</v>
      </c>
    </row>
    <row r="187" spans="4:10" hidden="1" x14ac:dyDescent="0.25">
      <c r="D187" s="8">
        <v>46079</v>
      </c>
      <c r="E187" s="9">
        <v>0.86111111111111116</v>
      </c>
      <c r="F187" t="s">
        <v>184</v>
      </c>
      <c r="G187" t="s">
        <v>167</v>
      </c>
      <c r="H187">
        <v>877758</v>
      </c>
      <c r="I187">
        <v>42023</v>
      </c>
      <c r="J187" s="6">
        <v>30</v>
      </c>
    </row>
    <row r="188" spans="4:10" hidden="1" x14ac:dyDescent="0.25">
      <c r="D188" s="8">
        <v>46079</v>
      </c>
      <c r="E188" s="9">
        <v>0.79166666666666663</v>
      </c>
      <c r="F188" t="s">
        <v>184</v>
      </c>
      <c r="G188" t="s">
        <v>167</v>
      </c>
      <c r="H188">
        <v>610727</v>
      </c>
      <c r="I188">
        <v>564366</v>
      </c>
      <c r="J188" s="6">
        <v>30</v>
      </c>
    </row>
    <row r="189" spans="4:10" hidden="1" x14ac:dyDescent="0.25">
      <c r="D189" s="8">
        <v>46079</v>
      </c>
      <c r="E189" s="9">
        <v>0.85416666666666663</v>
      </c>
      <c r="F189" t="s">
        <v>184</v>
      </c>
      <c r="G189" t="s">
        <v>167</v>
      </c>
      <c r="H189">
        <v>610770</v>
      </c>
      <c r="I189">
        <v>714377</v>
      </c>
      <c r="J189" s="6">
        <v>30</v>
      </c>
    </row>
    <row r="190" spans="4:10" hidden="1" x14ac:dyDescent="0.25">
      <c r="D190" s="8">
        <v>46079</v>
      </c>
      <c r="E190" s="9">
        <v>0.85763888888888884</v>
      </c>
      <c r="F190" t="s">
        <v>184</v>
      </c>
      <c r="G190" t="s">
        <v>167</v>
      </c>
      <c r="H190">
        <v>610776</v>
      </c>
      <c r="I190">
        <v>451455</v>
      </c>
      <c r="J190" s="6">
        <v>30</v>
      </c>
    </row>
    <row r="191" spans="4:10" hidden="1" x14ac:dyDescent="0.25">
      <c r="D191" s="8">
        <v>46079</v>
      </c>
      <c r="E191" s="9">
        <v>0.91874999999999996</v>
      </c>
      <c r="F191" t="s">
        <v>184</v>
      </c>
      <c r="G191" t="s">
        <v>167</v>
      </c>
      <c r="H191">
        <v>374361</v>
      </c>
      <c r="I191">
        <v>884553</v>
      </c>
      <c r="J191" s="6">
        <v>30</v>
      </c>
    </row>
    <row r="192" spans="4:10" hidden="1" x14ac:dyDescent="0.25">
      <c r="D192" s="8">
        <v>46079</v>
      </c>
      <c r="E192" s="9">
        <v>0.22361111111111112</v>
      </c>
      <c r="F192" t="s">
        <v>166</v>
      </c>
      <c r="G192" t="s">
        <v>236</v>
      </c>
      <c r="H192">
        <v>374158</v>
      </c>
      <c r="I192">
        <v>192047</v>
      </c>
      <c r="J192" s="6">
        <v>30</v>
      </c>
    </row>
    <row r="193" spans="4:10" hidden="1" x14ac:dyDescent="0.25">
      <c r="D193" s="8">
        <v>46079</v>
      </c>
      <c r="E193" s="9">
        <v>0.2902777777777778</v>
      </c>
      <c r="F193" t="s">
        <v>166</v>
      </c>
      <c r="G193" t="s">
        <v>236</v>
      </c>
      <c r="H193">
        <v>610507</v>
      </c>
      <c r="I193">
        <v>47147</v>
      </c>
      <c r="J193" s="6">
        <v>30</v>
      </c>
    </row>
    <row r="194" spans="4:10" hidden="1" x14ac:dyDescent="0.25">
      <c r="D194" s="8">
        <v>46079</v>
      </c>
      <c r="E194" s="9">
        <v>0.69791666666666663</v>
      </c>
      <c r="F194" t="s">
        <v>184</v>
      </c>
      <c r="G194" t="s">
        <v>236</v>
      </c>
      <c r="H194">
        <v>86854</v>
      </c>
      <c r="I194">
        <v>2618</v>
      </c>
      <c r="J194" s="6">
        <v>30</v>
      </c>
    </row>
    <row r="195" spans="4:10" hidden="1" x14ac:dyDescent="0.25">
      <c r="D195" s="8">
        <v>46079</v>
      </c>
      <c r="E195" s="9">
        <v>0.69236111111111109</v>
      </c>
      <c r="F195" t="s">
        <v>199</v>
      </c>
      <c r="G195" t="s">
        <v>249</v>
      </c>
      <c r="H195">
        <v>610693</v>
      </c>
      <c r="I195">
        <v>862512</v>
      </c>
      <c r="J195" s="6">
        <v>30</v>
      </c>
    </row>
    <row r="196" spans="4:10" hidden="1" x14ac:dyDescent="0.25">
      <c r="D196" s="8">
        <v>46079</v>
      </c>
      <c r="E196" s="9">
        <v>0.77916666666666667</v>
      </c>
      <c r="F196" t="s">
        <v>184</v>
      </c>
      <c r="G196" t="s">
        <v>236</v>
      </c>
      <c r="H196">
        <v>374257</v>
      </c>
      <c r="I196">
        <v>90366</v>
      </c>
      <c r="J196" s="6">
        <v>30</v>
      </c>
    </row>
    <row r="197" spans="4:10" hidden="1" x14ac:dyDescent="0.25">
      <c r="D197" s="8">
        <v>46079</v>
      </c>
      <c r="E197" s="9">
        <v>0.85624999999999996</v>
      </c>
      <c r="F197" t="s">
        <v>184</v>
      </c>
      <c r="G197" t="s">
        <v>236</v>
      </c>
      <c r="H197">
        <v>86948</v>
      </c>
      <c r="I197">
        <v>695651</v>
      </c>
      <c r="J197" s="6">
        <v>30</v>
      </c>
    </row>
    <row r="198" spans="4:10" hidden="1" x14ac:dyDescent="0.25">
      <c r="D198" s="8">
        <v>46079</v>
      </c>
      <c r="E198" s="9">
        <v>0.86944444444444446</v>
      </c>
      <c r="F198" t="s">
        <v>184</v>
      </c>
      <c r="G198" t="s">
        <v>236</v>
      </c>
      <c r="H198">
        <v>86958</v>
      </c>
      <c r="I198" t="s">
        <v>251</v>
      </c>
      <c r="J198" s="6">
        <v>30</v>
      </c>
    </row>
    <row r="199" spans="4:10" hidden="1" x14ac:dyDescent="0.25">
      <c r="D199" s="8">
        <v>46079</v>
      </c>
      <c r="E199" s="9">
        <v>0.82847222222222228</v>
      </c>
      <c r="F199" t="s">
        <v>184</v>
      </c>
      <c r="G199" t="s">
        <v>236</v>
      </c>
      <c r="H199">
        <v>374227</v>
      </c>
      <c r="I199">
        <v>53908</v>
      </c>
      <c r="J199" s="6">
        <v>30</v>
      </c>
    </row>
    <row r="200" spans="4:10" hidden="1" x14ac:dyDescent="0.25">
      <c r="D200" s="8">
        <v>46079</v>
      </c>
      <c r="E200" s="9">
        <v>0.32569444444444445</v>
      </c>
      <c r="F200" t="s">
        <v>184</v>
      </c>
      <c r="G200" t="s">
        <v>236</v>
      </c>
      <c r="H200">
        <v>877573</v>
      </c>
      <c r="I200">
        <v>513247</v>
      </c>
      <c r="J200" s="6">
        <v>30</v>
      </c>
    </row>
    <row r="201" spans="4:10" hidden="1" x14ac:dyDescent="0.25">
      <c r="D201" s="8">
        <v>46079</v>
      </c>
      <c r="E201" s="9">
        <v>0.34305555555555556</v>
      </c>
      <c r="F201" t="s">
        <v>184</v>
      </c>
      <c r="G201" t="s">
        <v>236</v>
      </c>
      <c r="H201">
        <v>877589</v>
      </c>
      <c r="I201">
        <v>921274</v>
      </c>
      <c r="J201" s="6">
        <v>30</v>
      </c>
    </row>
    <row r="202" spans="4:10" hidden="1" x14ac:dyDescent="0.25">
      <c r="D202" s="8">
        <v>46079</v>
      </c>
      <c r="E202" s="9">
        <v>0.46527777777777779</v>
      </c>
      <c r="F202" t="s">
        <v>184</v>
      </c>
      <c r="G202" t="s">
        <v>236</v>
      </c>
      <c r="H202">
        <v>877673</v>
      </c>
      <c r="I202">
        <v>39437</v>
      </c>
      <c r="J202" s="6">
        <v>30</v>
      </c>
    </row>
    <row r="203" spans="4:10" hidden="1" x14ac:dyDescent="0.25">
      <c r="D203" s="8">
        <v>46079</v>
      </c>
      <c r="E203" s="9">
        <v>0.3</v>
      </c>
      <c r="F203" t="s">
        <v>184</v>
      </c>
      <c r="G203" t="s">
        <v>236</v>
      </c>
      <c r="H203">
        <v>610516</v>
      </c>
      <c r="I203">
        <v>227726</v>
      </c>
      <c r="J203" s="6">
        <v>30</v>
      </c>
    </row>
    <row r="204" spans="4:10" hidden="1" x14ac:dyDescent="0.25">
      <c r="D204" s="8">
        <v>46079</v>
      </c>
      <c r="E204" s="9">
        <v>0.21805555555555556</v>
      </c>
      <c r="F204" t="s">
        <v>199</v>
      </c>
      <c r="G204" t="s">
        <v>249</v>
      </c>
      <c r="H204">
        <v>374152</v>
      </c>
      <c r="I204">
        <v>875513</v>
      </c>
      <c r="J204" s="6">
        <v>30</v>
      </c>
    </row>
    <row r="205" spans="4:10" hidden="1" x14ac:dyDescent="0.25">
      <c r="D205" s="8">
        <v>46079</v>
      </c>
      <c r="E205" s="9">
        <v>6.9444444444444441E-3</v>
      </c>
      <c r="F205" t="s">
        <v>199</v>
      </c>
      <c r="G205" t="s">
        <v>249</v>
      </c>
      <c r="H205">
        <v>753980</v>
      </c>
      <c r="I205">
        <v>423024</v>
      </c>
      <c r="J205" s="6">
        <v>30</v>
      </c>
    </row>
    <row r="206" spans="4:10" hidden="1" x14ac:dyDescent="0.25">
      <c r="D206" s="8">
        <v>46079</v>
      </c>
      <c r="E206" s="9">
        <v>0.56388888888888888</v>
      </c>
      <c r="F206" t="s">
        <v>184</v>
      </c>
      <c r="G206" t="s">
        <v>236</v>
      </c>
      <c r="H206">
        <v>371133</v>
      </c>
      <c r="I206">
        <v>81988</v>
      </c>
      <c r="J206" s="6">
        <v>30</v>
      </c>
    </row>
    <row r="207" spans="4:10" hidden="1" x14ac:dyDescent="0.25">
      <c r="D207" s="8">
        <v>46079</v>
      </c>
      <c r="E207" s="9">
        <v>0.59930555555555554</v>
      </c>
      <c r="F207" t="s">
        <v>184</v>
      </c>
      <c r="G207" t="s">
        <v>236</v>
      </c>
      <c r="H207">
        <v>754129</v>
      </c>
      <c r="I207">
        <v>231260</v>
      </c>
      <c r="J207" s="6">
        <v>30</v>
      </c>
    </row>
    <row r="208" spans="4:10" hidden="1" x14ac:dyDescent="0.25">
      <c r="D208" s="8">
        <v>46079</v>
      </c>
      <c r="E208" s="9">
        <v>0.27916666666666667</v>
      </c>
      <c r="F208" t="s">
        <v>166</v>
      </c>
      <c r="G208" t="s">
        <v>167</v>
      </c>
      <c r="H208">
        <v>373949</v>
      </c>
      <c r="I208" t="s">
        <v>178</v>
      </c>
      <c r="J208" s="6">
        <v>30.06</v>
      </c>
    </row>
    <row r="209" spans="1:10" hidden="1" x14ac:dyDescent="0.25">
      <c r="D209" s="8">
        <v>46079</v>
      </c>
      <c r="E209" s="9">
        <v>0.66597222222222219</v>
      </c>
      <c r="F209" t="s">
        <v>184</v>
      </c>
      <c r="G209" t="s">
        <v>167</v>
      </c>
      <c r="H209">
        <v>374192</v>
      </c>
      <c r="I209">
        <v>299097</v>
      </c>
      <c r="J209" s="6">
        <v>30.06</v>
      </c>
    </row>
    <row r="210" spans="1:10" x14ac:dyDescent="0.25">
      <c r="A210" t="s">
        <v>139</v>
      </c>
      <c r="B210" t="s">
        <v>140</v>
      </c>
      <c r="C210" t="s">
        <v>98</v>
      </c>
      <c r="D210" s="8">
        <v>46079</v>
      </c>
      <c r="E210" s="9">
        <v>0.80555555555555558</v>
      </c>
      <c r="F210" t="s">
        <v>92</v>
      </c>
      <c r="G210" t="s">
        <v>92</v>
      </c>
      <c r="H210">
        <v>2188444</v>
      </c>
      <c r="J210" s="6">
        <v>30.38</v>
      </c>
    </row>
    <row r="211" spans="1:10" hidden="1" x14ac:dyDescent="0.25">
      <c r="D211" s="8">
        <v>46079</v>
      </c>
      <c r="E211" s="9">
        <v>0.66180555555555554</v>
      </c>
      <c r="F211" t="s">
        <v>166</v>
      </c>
      <c r="G211" t="s">
        <v>236</v>
      </c>
      <c r="H211">
        <v>371168</v>
      </c>
      <c r="I211">
        <v>632653</v>
      </c>
      <c r="J211" s="6">
        <v>30.48</v>
      </c>
    </row>
    <row r="212" spans="1:10" hidden="1" x14ac:dyDescent="0.25">
      <c r="D212" s="8">
        <v>46079</v>
      </c>
      <c r="E212" s="9">
        <v>0.52361111111111114</v>
      </c>
      <c r="F212" t="s">
        <v>199</v>
      </c>
      <c r="G212" t="s">
        <v>249</v>
      </c>
      <c r="H212">
        <v>86784</v>
      </c>
      <c r="I212">
        <v>253373</v>
      </c>
      <c r="J212" s="6">
        <v>30.58</v>
      </c>
    </row>
    <row r="213" spans="1:10" hidden="1" x14ac:dyDescent="0.25">
      <c r="D213" s="8">
        <v>46079</v>
      </c>
      <c r="E213" s="9">
        <v>0.87986111111111109</v>
      </c>
      <c r="F213" t="s">
        <v>199</v>
      </c>
      <c r="G213" t="s">
        <v>249</v>
      </c>
      <c r="H213">
        <v>877772</v>
      </c>
      <c r="I213">
        <v>839789</v>
      </c>
      <c r="J213" s="6">
        <v>30.73</v>
      </c>
    </row>
    <row r="214" spans="1:10" hidden="1" x14ac:dyDescent="0.25">
      <c r="D214" s="8">
        <v>46079</v>
      </c>
      <c r="E214" s="9">
        <v>0.98263888888888884</v>
      </c>
      <c r="F214" t="s">
        <v>199</v>
      </c>
      <c r="G214" t="s">
        <v>236</v>
      </c>
      <c r="H214">
        <v>374412</v>
      </c>
      <c r="I214">
        <v>847660</v>
      </c>
      <c r="J214" s="6">
        <v>30.78</v>
      </c>
    </row>
    <row r="215" spans="1:10" x14ac:dyDescent="0.25">
      <c r="A215" t="s">
        <v>155</v>
      </c>
      <c r="B215" t="s">
        <v>156</v>
      </c>
      <c r="C215" t="s">
        <v>98</v>
      </c>
      <c r="D215" s="8">
        <v>46079</v>
      </c>
      <c r="E215" s="9">
        <v>0.86527777777777781</v>
      </c>
      <c r="F215" t="s">
        <v>92</v>
      </c>
      <c r="G215" t="s">
        <v>92</v>
      </c>
      <c r="H215">
        <v>2366955</v>
      </c>
      <c r="J215" s="6">
        <v>31</v>
      </c>
    </row>
    <row r="216" spans="1:10" hidden="1" x14ac:dyDescent="0.25">
      <c r="D216" s="8">
        <v>46079</v>
      </c>
      <c r="E216" s="9">
        <v>0.5805555555555556</v>
      </c>
      <c r="F216" t="s">
        <v>184</v>
      </c>
      <c r="G216" t="s">
        <v>167</v>
      </c>
      <c r="H216">
        <v>374123</v>
      </c>
      <c r="I216">
        <v>324119</v>
      </c>
      <c r="J216" s="6">
        <v>31.03</v>
      </c>
    </row>
    <row r="217" spans="1:10" hidden="1" x14ac:dyDescent="0.25">
      <c r="D217" s="8">
        <v>46079</v>
      </c>
      <c r="E217" s="9">
        <v>0.6333333333333333</v>
      </c>
      <c r="F217" t="s">
        <v>166</v>
      </c>
      <c r="G217" t="s">
        <v>87</v>
      </c>
      <c r="H217">
        <v>374164</v>
      </c>
      <c r="I217">
        <v>654071</v>
      </c>
      <c r="J217" s="6">
        <v>31.09</v>
      </c>
    </row>
    <row r="218" spans="1:10" hidden="1" x14ac:dyDescent="0.25">
      <c r="D218" s="8">
        <v>46079</v>
      </c>
      <c r="E218" s="9">
        <v>0.8041666666666667</v>
      </c>
      <c r="F218" t="s">
        <v>184</v>
      </c>
      <c r="G218" t="s">
        <v>87</v>
      </c>
      <c r="H218">
        <v>877726</v>
      </c>
      <c r="I218" t="s">
        <v>222</v>
      </c>
      <c r="J218" s="6">
        <v>31.78</v>
      </c>
    </row>
    <row r="219" spans="1:10" hidden="1" x14ac:dyDescent="0.25">
      <c r="D219" s="8">
        <v>46079</v>
      </c>
      <c r="E219" s="9">
        <v>0.26319444444444445</v>
      </c>
      <c r="F219" t="s">
        <v>166</v>
      </c>
      <c r="G219" t="s">
        <v>236</v>
      </c>
      <c r="H219">
        <v>599765</v>
      </c>
      <c r="I219">
        <v>231732</v>
      </c>
      <c r="J219" s="6">
        <v>31.83</v>
      </c>
    </row>
    <row r="220" spans="1:10" hidden="1" x14ac:dyDescent="0.25">
      <c r="D220" s="8">
        <v>46079</v>
      </c>
      <c r="E220" s="9">
        <v>0.53472222222222221</v>
      </c>
      <c r="F220" t="s">
        <v>184</v>
      </c>
      <c r="G220" t="s">
        <v>236</v>
      </c>
      <c r="H220">
        <v>86790</v>
      </c>
      <c r="I220">
        <v>87058</v>
      </c>
      <c r="J220" s="6">
        <v>31.83</v>
      </c>
    </row>
    <row r="221" spans="1:10" hidden="1" x14ac:dyDescent="0.25">
      <c r="D221" s="8">
        <v>46079</v>
      </c>
      <c r="E221" s="9">
        <v>0.95277777777777772</v>
      </c>
      <c r="F221" t="s">
        <v>184</v>
      </c>
      <c r="G221" t="s">
        <v>236</v>
      </c>
      <c r="H221">
        <v>374387</v>
      </c>
      <c r="I221">
        <v>445131</v>
      </c>
      <c r="J221" s="6">
        <v>31.97</v>
      </c>
    </row>
    <row r="222" spans="1:10" hidden="1" x14ac:dyDescent="0.25">
      <c r="D222" s="8">
        <v>46079</v>
      </c>
      <c r="E222" s="9">
        <v>0.77013888888888893</v>
      </c>
      <c r="F222" t="s">
        <v>184</v>
      </c>
      <c r="G222" t="s">
        <v>236</v>
      </c>
      <c r="H222">
        <v>877714</v>
      </c>
      <c r="I222">
        <v>82340</v>
      </c>
      <c r="J222" s="6">
        <v>32.03</v>
      </c>
    </row>
    <row r="223" spans="1:10" hidden="1" x14ac:dyDescent="0.25">
      <c r="D223" s="8">
        <v>46079</v>
      </c>
      <c r="E223" s="9">
        <v>0.35</v>
      </c>
      <c r="F223" t="s">
        <v>184</v>
      </c>
      <c r="G223" t="s">
        <v>236</v>
      </c>
      <c r="H223">
        <v>754066</v>
      </c>
      <c r="I223">
        <v>91654</v>
      </c>
      <c r="J223" s="6">
        <v>32.03</v>
      </c>
    </row>
    <row r="224" spans="1:10" hidden="1" x14ac:dyDescent="0.25">
      <c r="D224" s="8">
        <v>46079</v>
      </c>
      <c r="E224" s="9">
        <v>0.27361111111111114</v>
      </c>
      <c r="F224" t="s">
        <v>199</v>
      </c>
      <c r="G224" t="s">
        <v>87</v>
      </c>
      <c r="H224">
        <v>610499</v>
      </c>
      <c r="I224">
        <v>386592</v>
      </c>
      <c r="J224" s="6">
        <v>32.25</v>
      </c>
    </row>
    <row r="225" spans="1:10" hidden="1" x14ac:dyDescent="0.25">
      <c r="D225" s="8">
        <v>46079</v>
      </c>
      <c r="E225" s="9">
        <v>0.89513888888888893</v>
      </c>
      <c r="F225" t="s">
        <v>184</v>
      </c>
      <c r="G225" t="s">
        <v>167</v>
      </c>
      <c r="H225">
        <v>610798</v>
      </c>
      <c r="I225">
        <v>143897</v>
      </c>
      <c r="J225" s="6">
        <v>32.25</v>
      </c>
    </row>
    <row r="226" spans="1:10" hidden="1" x14ac:dyDescent="0.25">
      <c r="D226" s="8">
        <v>46079</v>
      </c>
      <c r="E226" s="9">
        <v>0.59583333333333333</v>
      </c>
      <c r="F226" t="s">
        <v>184</v>
      </c>
      <c r="G226" t="s">
        <v>236</v>
      </c>
      <c r="H226">
        <v>869514</v>
      </c>
      <c r="I226">
        <v>790666</v>
      </c>
      <c r="J226" s="6">
        <v>32.25</v>
      </c>
    </row>
    <row r="227" spans="1:10" hidden="1" x14ac:dyDescent="0.25">
      <c r="D227" s="8">
        <v>46079</v>
      </c>
      <c r="E227" s="9">
        <v>0.84652777777777777</v>
      </c>
      <c r="F227" t="s">
        <v>184</v>
      </c>
      <c r="G227" t="s">
        <v>167</v>
      </c>
      <c r="H227">
        <v>86943</v>
      </c>
      <c r="I227">
        <v>602368</v>
      </c>
      <c r="J227" s="6">
        <v>32.31</v>
      </c>
    </row>
    <row r="228" spans="1:10" hidden="1" x14ac:dyDescent="0.25">
      <c r="D228" s="8">
        <v>46079</v>
      </c>
      <c r="E228" s="9">
        <v>0.45694444444444443</v>
      </c>
      <c r="F228" t="s">
        <v>184</v>
      </c>
      <c r="G228" t="s">
        <v>167</v>
      </c>
      <c r="H228">
        <v>86741</v>
      </c>
      <c r="I228">
        <v>444943</v>
      </c>
      <c r="J228" s="6">
        <v>32.44</v>
      </c>
    </row>
    <row r="229" spans="1:10" hidden="1" x14ac:dyDescent="0.25">
      <c r="D229" s="8">
        <v>46079</v>
      </c>
      <c r="E229" s="9">
        <v>0.61805555555555558</v>
      </c>
      <c r="F229" t="s">
        <v>184</v>
      </c>
      <c r="G229" t="s">
        <v>236</v>
      </c>
      <c r="H229">
        <v>610663</v>
      </c>
      <c r="I229">
        <v>51511</v>
      </c>
      <c r="J229" s="6">
        <v>32.68</v>
      </c>
    </row>
    <row r="230" spans="1:10" x14ac:dyDescent="0.25">
      <c r="A230" t="s">
        <v>163</v>
      </c>
      <c r="B230" t="s">
        <v>164</v>
      </c>
      <c r="C230" t="s">
        <v>165</v>
      </c>
      <c r="D230" s="8">
        <v>46079</v>
      </c>
      <c r="E230" s="9">
        <v>0.91666666666666663</v>
      </c>
      <c r="F230" t="s">
        <v>92</v>
      </c>
      <c r="G230" t="s">
        <v>92</v>
      </c>
      <c r="H230">
        <v>70806</v>
      </c>
      <c r="J230" s="6">
        <v>33</v>
      </c>
    </row>
    <row r="231" spans="1:10" hidden="1" x14ac:dyDescent="0.25">
      <c r="D231" s="8">
        <v>46079</v>
      </c>
      <c r="E231" s="9">
        <v>0.46736111111111112</v>
      </c>
      <c r="F231" t="s">
        <v>184</v>
      </c>
      <c r="G231" t="s">
        <v>167</v>
      </c>
      <c r="H231">
        <v>599854</v>
      </c>
      <c r="I231">
        <v>713516</v>
      </c>
      <c r="J231" s="6">
        <v>33.020000000000003</v>
      </c>
    </row>
    <row r="232" spans="1:10" hidden="1" x14ac:dyDescent="0.25">
      <c r="D232" s="8">
        <v>46079</v>
      </c>
      <c r="E232" s="9">
        <v>0.84097222222222223</v>
      </c>
      <c r="F232" t="s">
        <v>199</v>
      </c>
      <c r="G232" t="s">
        <v>249</v>
      </c>
      <c r="H232">
        <v>877743</v>
      </c>
      <c r="I232">
        <v>119595</v>
      </c>
      <c r="J232" s="6">
        <v>33.03</v>
      </c>
    </row>
    <row r="233" spans="1:10" hidden="1" x14ac:dyDescent="0.25">
      <c r="D233" s="8">
        <v>46079</v>
      </c>
      <c r="E233" s="9">
        <v>0.59861111111111109</v>
      </c>
      <c r="F233" t="s">
        <v>184</v>
      </c>
      <c r="G233" t="s">
        <v>236</v>
      </c>
      <c r="H233">
        <v>371151</v>
      </c>
      <c r="I233">
        <v>488279</v>
      </c>
      <c r="J233" s="6">
        <v>33.33</v>
      </c>
    </row>
    <row r="234" spans="1:10" hidden="1" x14ac:dyDescent="0.25">
      <c r="D234" s="8">
        <v>46079</v>
      </c>
      <c r="E234" s="9">
        <v>0.75902777777777775</v>
      </c>
      <c r="F234" t="s">
        <v>184</v>
      </c>
      <c r="G234" t="s">
        <v>236</v>
      </c>
      <c r="H234">
        <v>877707</v>
      </c>
      <c r="I234">
        <v>110415</v>
      </c>
      <c r="J234" s="6">
        <v>33.43</v>
      </c>
    </row>
    <row r="235" spans="1:10" hidden="1" x14ac:dyDescent="0.25">
      <c r="D235" s="8">
        <v>46079</v>
      </c>
      <c r="E235" s="9">
        <v>0.65833333333333333</v>
      </c>
      <c r="F235" t="s">
        <v>166</v>
      </c>
      <c r="G235" t="s">
        <v>87</v>
      </c>
      <c r="H235">
        <v>610672</v>
      </c>
      <c r="I235">
        <v>131418</v>
      </c>
      <c r="J235" s="6">
        <v>33.44</v>
      </c>
    </row>
    <row r="236" spans="1:10" hidden="1" x14ac:dyDescent="0.25">
      <c r="D236" s="8">
        <v>46079</v>
      </c>
      <c r="E236" s="9">
        <v>7.5694444444444439E-2</v>
      </c>
      <c r="F236" t="s">
        <v>184</v>
      </c>
      <c r="G236" t="s">
        <v>167</v>
      </c>
      <c r="H236">
        <v>374105</v>
      </c>
      <c r="I236">
        <v>238270</v>
      </c>
      <c r="J236" s="6">
        <v>33.83</v>
      </c>
    </row>
    <row r="237" spans="1:10" hidden="1" x14ac:dyDescent="0.25">
      <c r="D237" s="8">
        <v>46079</v>
      </c>
      <c r="E237" s="9">
        <v>0.46041666666666664</v>
      </c>
      <c r="F237" t="s">
        <v>184</v>
      </c>
      <c r="G237" t="s">
        <v>236</v>
      </c>
      <c r="H237">
        <v>599850</v>
      </c>
      <c r="I237">
        <v>3485</v>
      </c>
      <c r="J237" s="6">
        <v>33.83</v>
      </c>
    </row>
    <row r="238" spans="1:10" hidden="1" x14ac:dyDescent="0.25">
      <c r="D238" s="8">
        <v>46079</v>
      </c>
      <c r="E238" s="9">
        <v>0.81597222222222221</v>
      </c>
      <c r="F238" t="s">
        <v>184</v>
      </c>
      <c r="G238" t="s">
        <v>87</v>
      </c>
      <c r="H238">
        <v>86917</v>
      </c>
      <c r="I238" t="s">
        <v>220</v>
      </c>
      <c r="J238" s="6">
        <v>34.119999999999997</v>
      </c>
    </row>
    <row r="239" spans="1:10" hidden="1" x14ac:dyDescent="0.25">
      <c r="D239" s="8">
        <v>46079</v>
      </c>
      <c r="E239" s="9">
        <v>0.93472222222222223</v>
      </c>
      <c r="F239" t="s">
        <v>166</v>
      </c>
      <c r="G239" t="s">
        <v>167</v>
      </c>
      <c r="H239">
        <v>610818</v>
      </c>
      <c r="I239" t="s">
        <v>183</v>
      </c>
      <c r="J239" s="6">
        <v>34.32</v>
      </c>
    </row>
    <row r="240" spans="1:10" hidden="1" x14ac:dyDescent="0.25">
      <c r="D240" s="8">
        <v>46079</v>
      </c>
      <c r="E240" s="9">
        <v>0.82013888888888886</v>
      </c>
      <c r="F240" t="s">
        <v>184</v>
      </c>
      <c r="G240" t="s">
        <v>87</v>
      </c>
      <c r="H240">
        <v>877732</v>
      </c>
      <c r="I240" t="s">
        <v>223</v>
      </c>
      <c r="J240" s="6">
        <v>34.51</v>
      </c>
    </row>
    <row r="241" spans="1:10" hidden="1" x14ac:dyDescent="0.25">
      <c r="D241" s="8">
        <v>46079</v>
      </c>
      <c r="E241" s="9">
        <v>0.60486111111111107</v>
      </c>
      <c r="F241" t="s">
        <v>184</v>
      </c>
      <c r="G241" t="s">
        <v>167</v>
      </c>
      <c r="H241">
        <v>374143</v>
      </c>
      <c r="I241">
        <v>907517</v>
      </c>
      <c r="J241" s="6">
        <v>34.58</v>
      </c>
    </row>
    <row r="242" spans="1:10" x14ac:dyDescent="0.25">
      <c r="A242" t="s">
        <v>121</v>
      </c>
      <c r="B242" t="s">
        <v>122</v>
      </c>
      <c r="C242" t="s">
        <v>98</v>
      </c>
      <c r="D242" s="8">
        <v>46079</v>
      </c>
      <c r="E242" s="9">
        <v>0.78819444444444442</v>
      </c>
      <c r="F242" t="s">
        <v>92</v>
      </c>
      <c r="G242" t="s">
        <v>92</v>
      </c>
      <c r="H242">
        <v>2100503</v>
      </c>
      <c r="J242" s="6">
        <v>34.68</v>
      </c>
    </row>
    <row r="243" spans="1:10" x14ac:dyDescent="0.25">
      <c r="A243" t="s">
        <v>105</v>
      </c>
      <c r="B243" t="s">
        <v>106</v>
      </c>
      <c r="C243" t="s">
        <v>98</v>
      </c>
      <c r="D243" s="8">
        <v>46079</v>
      </c>
      <c r="E243" s="9">
        <v>0.34375</v>
      </c>
      <c r="F243" t="s">
        <v>92</v>
      </c>
      <c r="G243" t="s">
        <v>92</v>
      </c>
      <c r="H243">
        <v>359110</v>
      </c>
      <c r="J243" s="6">
        <v>34.78</v>
      </c>
    </row>
    <row r="244" spans="1:10" hidden="1" x14ac:dyDescent="0.25">
      <c r="D244" s="8">
        <v>46079</v>
      </c>
      <c r="E244" s="9">
        <v>0.33680555555555558</v>
      </c>
      <c r="F244" t="s">
        <v>184</v>
      </c>
      <c r="G244" t="s">
        <v>167</v>
      </c>
      <c r="H244">
        <v>754064</v>
      </c>
      <c r="I244">
        <v>391239</v>
      </c>
      <c r="J244" s="6">
        <v>35</v>
      </c>
    </row>
    <row r="245" spans="1:10" hidden="1" x14ac:dyDescent="0.25">
      <c r="D245" s="8">
        <v>46079</v>
      </c>
      <c r="E245" s="9">
        <v>0.5625</v>
      </c>
      <c r="F245" t="s">
        <v>184</v>
      </c>
      <c r="G245" t="s">
        <v>167</v>
      </c>
      <c r="H245">
        <v>599895</v>
      </c>
      <c r="I245">
        <v>333059</v>
      </c>
      <c r="J245" s="6">
        <v>35</v>
      </c>
    </row>
    <row r="246" spans="1:10" hidden="1" x14ac:dyDescent="0.25">
      <c r="D246" s="8">
        <v>46079</v>
      </c>
      <c r="E246" s="9">
        <v>0.23749999999999999</v>
      </c>
      <c r="F246" t="s">
        <v>166</v>
      </c>
      <c r="G246" t="s">
        <v>87</v>
      </c>
      <c r="H246">
        <v>610470</v>
      </c>
      <c r="I246">
        <v>377976</v>
      </c>
      <c r="J246" s="6">
        <v>35.119999999999997</v>
      </c>
    </row>
    <row r="247" spans="1:10" hidden="1" x14ac:dyDescent="0.25">
      <c r="D247" s="8">
        <v>46079</v>
      </c>
      <c r="E247" s="9">
        <v>0.34166666666666667</v>
      </c>
      <c r="F247" t="s">
        <v>184</v>
      </c>
      <c r="G247" t="s">
        <v>236</v>
      </c>
      <c r="H247">
        <v>877585</v>
      </c>
      <c r="I247">
        <v>122457</v>
      </c>
      <c r="J247" s="6">
        <v>35.82</v>
      </c>
    </row>
    <row r="248" spans="1:10" hidden="1" x14ac:dyDescent="0.25">
      <c r="D248" s="8">
        <v>46079</v>
      </c>
      <c r="E248" s="9">
        <v>0.12847222222222221</v>
      </c>
      <c r="F248" t="s">
        <v>184</v>
      </c>
      <c r="G248" t="s">
        <v>167</v>
      </c>
      <c r="H248">
        <v>374126</v>
      </c>
      <c r="I248">
        <v>681847</v>
      </c>
      <c r="J248" s="6">
        <v>35.97</v>
      </c>
    </row>
    <row r="249" spans="1:10" x14ac:dyDescent="0.25">
      <c r="A249" t="s">
        <v>96</v>
      </c>
      <c r="B249" t="s">
        <v>97</v>
      </c>
      <c r="C249" t="s">
        <v>98</v>
      </c>
      <c r="D249" s="8">
        <v>46079</v>
      </c>
      <c r="E249" s="9">
        <v>0.33888888888888891</v>
      </c>
      <c r="F249" t="s">
        <v>92</v>
      </c>
      <c r="G249" t="s">
        <v>92</v>
      </c>
      <c r="H249">
        <v>345038</v>
      </c>
      <c r="J249" s="6">
        <v>36.32</v>
      </c>
    </row>
    <row r="250" spans="1:10" hidden="1" x14ac:dyDescent="0.25">
      <c r="D250" s="8">
        <v>46079</v>
      </c>
      <c r="E250" s="9">
        <v>0.875</v>
      </c>
      <c r="F250" t="s">
        <v>184</v>
      </c>
      <c r="G250" t="s">
        <v>167</v>
      </c>
      <c r="H250">
        <v>877767</v>
      </c>
      <c r="I250">
        <v>480401</v>
      </c>
      <c r="J250" s="6">
        <v>36.47</v>
      </c>
    </row>
    <row r="251" spans="1:10" hidden="1" x14ac:dyDescent="0.25">
      <c r="D251" s="8">
        <v>46079</v>
      </c>
      <c r="E251" s="9">
        <v>1.1805555555555555E-2</v>
      </c>
      <c r="F251" t="s">
        <v>166</v>
      </c>
      <c r="G251" t="s">
        <v>236</v>
      </c>
      <c r="H251">
        <v>753984</v>
      </c>
      <c r="I251" t="s">
        <v>244</v>
      </c>
      <c r="J251" s="6">
        <v>36.57</v>
      </c>
    </row>
    <row r="252" spans="1:10" hidden="1" x14ac:dyDescent="0.25">
      <c r="D252" s="8">
        <v>46079</v>
      </c>
      <c r="E252" s="9">
        <v>0.68611111111111112</v>
      </c>
      <c r="F252" t="s">
        <v>184</v>
      </c>
      <c r="G252" t="s">
        <v>236</v>
      </c>
      <c r="H252">
        <v>86844</v>
      </c>
      <c r="I252">
        <v>135494</v>
      </c>
      <c r="J252" s="6">
        <v>36.72</v>
      </c>
    </row>
    <row r="253" spans="1:10" hidden="1" x14ac:dyDescent="0.25">
      <c r="D253" s="8">
        <v>46079</v>
      </c>
      <c r="E253" s="9">
        <v>0.95694444444444449</v>
      </c>
      <c r="F253" t="s">
        <v>184</v>
      </c>
      <c r="G253" t="s">
        <v>236</v>
      </c>
      <c r="H253">
        <v>374389</v>
      </c>
      <c r="I253">
        <v>631784</v>
      </c>
      <c r="J253" s="6">
        <v>36.92</v>
      </c>
    </row>
    <row r="254" spans="1:10" hidden="1" x14ac:dyDescent="0.25">
      <c r="D254" s="8">
        <v>46079</v>
      </c>
      <c r="E254" s="9">
        <v>0.33124999999999999</v>
      </c>
      <c r="F254" t="s">
        <v>166</v>
      </c>
      <c r="G254" t="s">
        <v>236</v>
      </c>
      <c r="H254">
        <v>754061</v>
      </c>
      <c r="I254">
        <v>206199</v>
      </c>
      <c r="J254" s="6">
        <v>37.17</v>
      </c>
    </row>
    <row r="255" spans="1:10" hidden="1" x14ac:dyDescent="0.25">
      <c r="D255" s="8">
        <v>46079</v>
      </c>
      <c r="E255" s="9">
        <v>0.89027777777777772</v>
      </c>
      <c r="F255" t="s">
        <v>199</v>
      </c>
      <c r="G255" t="s">
        <v>249</v>
      </c>
      <c r="H255">
        <v>877780</v>
      </c>
      <c r="I255">
        <v>869823</v>
      </c>
      <c r="J255" s="6">
        <v>37.22</v>
      </c>
    </row>
    <row r="256" spans="1:10" x14ac:dyDescent="0.25">
      <c r="A256" t="s">
        <v>132</v>
      </c>
      <c r="B256" t="s">
        <v>133</v>
      </c>
      <c r="C256" t="s">
        <v>134</v>
      </c>
      <c r="D256" s="8">
        <v>46079</v>
      </c>
      <c r="E256" s="9">
        <v>0.7993055555555556</v>
      </c>
      <c r="F256" t="s">
        <v>92</v>
      </c>
      <c r="G256" t="s">
        <v>92</v>
      </c>
      <c r="H256">
        <v>2160722</v>
      </c>
      <c r="J256" s="6">
        <v>37.32</v>
      </c>
    </row>
    <row r="257" spans="1:10" hidden="1" x14ac:dyDescent="0.25">
      <c r="D257" s="8">
        <v>46079</v>
      </c>
      <c r="E257" s="9">
        <v>0.72013888888888888</v>
      </c>
      <c r="F257" t="s">
        <v>184</v>
      </c>
      <c r="G257" t="s">
        <v>167</v>
      </c>
      <c r="H257">
        <v>86866</v>
      </c>
      <c r="I257">
        <v>465451</v>
      </c>
      <c r="J257" s="6">
        <v>37.39</v>
      </c>
    </row>
    <row r="258" spans="1:10" hidden="1" x14ac:dyDescent="0.25">
      <c r="D258" s="8">
        <v>46079</v>
      </c>
      <c r="E258" s="9">
        <v>0.63680555555555551</v>
      </c>
      <c r="F258" t="s">
        <v>166</v>
      </c>
      <c r="G258" t="s">
        <v>236</v>
      </c>
      <c r="H258">
        <v>86828</v>
      </c>
      <c r="I258">
        <v>672674</v>
      </c>
      <c r="J258" s="6">
        <v>37.450000000000003</v>
      </c>
    </row>
    <row r="259" spans="1:10" hidden="1" x14ac:dyDescent="0.25">
      <c r="D259" s="8">
        <v>46079</v>
      </c>
      <c r="E259" s="9">
        <v>0.83263888888888893</v>
      </c>
      <c r="F259" t="s">
        <v>184</v>
      </c>
      <c r="G259" t="s">
        <v>236</v>
      </c>
      <c r="H259">
        <v>374303</v>
      </c>
      <c r="I259">
        <v>810881</v>
      </c>
      <c r="J259" s="6">
        <v>38.47</v>
      </c>
    </row>
    <row r="260" spans="1:10" hidden="1" x14ac:dyDescent="0.25">
      <c r="D260" s="8">
        <v>46079</v>
      </c>
      <c r="E260" s="9">
        <v>0.73124999999999996</v>
      </c>
      <c r="F260" t="s">
        <v>166</v>
      </c>
      <c r="G260" t="s">
        <v>87</v>
      </c>
      <c r="H260">
        <v>86876</v>
      </c>
      <c r="I260">
        <v>263185</v>
      </c>
      <c r="J260" s="6">
        <v>38.97</v>
      </c>
    </row>
    <row r="261" spans="1:10" hidden="1" x14ac:dyDescent="0.25">
      <c r="D261" s="8">
        <v>46079</v>
      </c>
      <c r="E261" s="9">
        <v>0.27777777777777779</v>
      </c>
      <c r="F261" t="s">
        <v>184</v>
      </c>
      <c r="G261" t="s">
        <v>167</v>
      </c>
      <c r="H261">
        <v>599780</v>
      </c>
      <c r="I261">
        <v>185149</v>
      </c>
      <c r="J261" s="6">
        <v>39.270000000000003</v>
      </c>
    </row>
    <row r="262" spans="1:10" hidden="1" x14ac:dyDescent="0.25">
      <c r="D262" s="8">
        <v>46079</v>
      </c>
      <c r="E262" s="9">
        <v>0.77013888888888893</v>
      </c>
      <c r="F262" t="s">
        <v>184</v>
      </c>
      <c r="G262" t="s">
        <v>236</v>
      </c>
      <c r="H262">
        <v>610717</v>
      </c>
      <c r="I262">
        <v>639069</v>
      </c>
      <c r="J262" s="6">
        <v>39.28</v>
      </c>
    </row>
    <row r="263" spans="1:10" hidden="1" x14ac:dyDescent="0.25">
      <c r="D263" s="8">
        <v>46079</v>
      </c>
      <c r="E263" s="9">
        <v>0.70138888888888884</v>
      </c>
      <c r="F263" t="s">
        <v>184</v>
      </c>
      <c r="G263" t="s">
        <v>236</v>
      </c>
      <c r="H263">
        <v>371189</v>
      </c>
      <c r="I263">
        <v>985608</v>
      </c>
      <c r="J263" s="6">
        <v>39.57</v>
      </c>
    </row>
    <row r="264" spans="1:10" hidden="1" x14ac:dyDescent="0.25">
      <c r="D264" s="8">
        <v>46079</v>
      </c>
      <c r="E264" s="9">
        <v>0.15277777777777779</v>
      </c>
      <c r="F264" t="s">
        <v>184</v>
      </c>
      <c r="G264" t="s">
        <v>236</v>
      </c>
      <c r="H264">
        <v>374129</v>
      </c>
      <c r="I264">
        <v>831424</v>
      </c>
      <c r="J264" s="6">
        <v>39.65</v>
      </c>
    </row>
    <row r="265" spans="1:10" hidden="1" x14ac:dyDescent="0.25">
      <c r="D265" s="8">
        <v>46079</v>
      </c>
      <c r="E265" s="9">
        <v>0.4597222222222222</v>
      </c>
      <c r="F265" t="s">
        <v>184</v>
      </c>
      <c r="G265" t="s">
        <v>167</v>
      </c>
      <c r="H265">
        <v>599847</v>
      </c>
      <c r="I265" t="s">
        <v>200</v>
      </c>
      <c r="J265" s="6">
        <v>39.74</v>
      </c>
    </row>
    <row r="266" spans="1:10" hidden="1" x14ac:dyDescent="0.25">
      <c r="D266" s="8">
        <v>46079</v>
      </c>
      <c r="E266" s="9">
        <v>4.6527777777777779E-2</v>
      </c>
      <c r="F266" t="s">
        <v>184</v>
      </c>
      <c r="G266" t="s">
        <v>236</v>
      </c>
      <c r="H266">
        <v>374102</v>
      </c>
      <c r="I266">
        <v>526156</v>
      </c>
      <c r="J266" s="6">
        <v>39.74</v>
      </c>
    </row>
    <row r="267" spans="1:10" hidden="1" x14ac:dyDescent="0.25">
      <c r="D267" s="8">
        <v>46079</v>
      </c>
      <c r="E267" s="9">
        <v>0.3659722222222222</v>
      </c>
      <c r="F267" t="s">
        <v>166</v>
      </c>
      <c r="G267" t="s">
        <v>87</v>
      </c>
      <c r="H267">
        <v>877602</v>
      </c>
      <c r="I267" t="s">
        <v>177</v>
      </c>
      <c r="J267" s="6">
        <v>39.770000000000003</v>
      </c>
    </row>
    <row r="268" spans="1:10" hidden="1" x14ac:dyDescent="0.25">
      <c r="D268" s="8">
        <v>46079</v>
      </c>
      <c r="E268" s="9">
        <v>0.44236111111111109</v>
      </c>
      <c r="F268" t="s">
        <v>184</v>
      </c>
      <c r="G268" t="s">
        <v>167</v>
      </c>
      <c r="H268">
        <v>877657</v>
      </c>
      <c r="I268">
        <v>865568</v>
      </c>
      <c r="J268" s="6">
        <v>39.82</v>
      </c>
    </row>
    <row r="269" spans="1:10" hidden="1" x14ac:dyDescent="0.25">
      <c r="D269" s="8">
        <v>46079</v>
      </c>
      <c r="E269" s="9">
        <v>0.76736111111111116</v>
      </c>
      <c r="F269" t="s">
        <v>184</v>
      </c>
      <c r="G269" t="s">
        <v>236</v>
      </c>
      <c r="H269">
        <v>877711</v>
      </c>
      <c r="I269">
        <v>870278</v>
      </c>
      <c r="J269" s="6">
        <v>39.89</v>
      </c>
    </row>
    <row r="270" spans="1:10" x14ac:dyDescent="0.25">
      <c r="A270" t="s">
        <v>118</v>
      </c>
      <c r="B270" t="s">
        <v>119</v>
      </c>
      <c r="C270" t="s">
        <v>120</v>
      </c>
      <c r="D270" s="8">
        <v>46079</v>
      </c>
      <c r="E270" s="9">
        <v>0.78263888888888888</v>
      </c>
      <c r="F270" t="s">
        <v>92</v>
      </c>
      <c r="G270" t="s">
        <v>92</v>
      </c>
      <c r="H270">
        <v>2065677</v>
      </c>
      <c r="J270" s="6">
        <v>40</v>
      </c>
    </row>
    <row r="271" spans="1:10" hidden="1" x14ac:dyDescent="0.25">
      <c r="D271" s="8">
        <v>46079</v>
      </c>
      <c r="E271" s="9">
        <v>0.5083333333333333</v>
      </c>
      <c r="F271" t="s">
        <v>166</v>
      </c>
      <c r="G271" t="s">
        <v>167</v>
      </c>
      <c r="H271">
        <v>877699</v>
      </c>
      <c r="I271" t="s">
        <v>179</v>
      </c>
      <c r="J271" s="6">
        <v>40</v>
      </c>
    </row>
    <row r="272" spans="1:10" hidden="1" x14ac:dyDescent="0.25">
      <c r="D272" s="8">
        <v>46079</v>
      </c>
      <c r="E272" s="9">
        <v>0.55069444444444449</v>
      </c>
      <c r="F272" t="s">
        <v>166</v>
      </c>
      <c r="G272" t="s">
        <v>87</v>
      </c>
      <c r="H272">
        <v>86804</v>
      </c>
      <c r="I272">
        <v>382745</v>
      </c>
      <c r="J272" s="6">
        <v>40</v>
      </c>
    </row>
    <row r="273" spans="4:10" hidden="1" x14ac:dyDescent="0.25">
      <c r="D273" s="8">
        <v>46079</v>
      </c>
      <c r="E273" s="9">
        <v>0.63124999999999998</v>
      </c>
      <c r="F273" t="s">
        <v>166</v>
      </c>
      <c r="G273" t="s">
        <v>87</v>
      </c>
      <c r="H273">
        <v>869524</v>
      </c>
      <c r="I273">
        <v>154595</v>
      </c>
      <c r="J273" s="6">
        <v>40</v>
      </c>
    </row>
    <row r="274" spans="4:10" hidden="1" x14ac:dyDescent="0.25">
      <c r="D274" s="8">
        <v>46079</v>
      </c>
      <c r="E274" s="9">
        <v>0.31111111111111112</v>
      </c>
      <c r="F274" t="s">
        <v>184</v>
      </c>
      <c r="G274" t="s">
        <v>87</v>
      </c>
      <c r="H274">
        <v>877561</v>
      </c>
      <c r="I274" t="s">
        <v>188</v>
      </c>
      <c r="J274" s="6">
        <v>40</v>
      </c>
    </row>
    <row r="275" spans="4:10" hidden="1" x14ac:dyDescent="0.25">
      <c r="D275" s="8">
        <v>46079</v>
      </c>
      <c r="E275" s="9">
        <v>0.2902777777777778</v>
      </c>
      <c r="F275" t="s">
        <v>184</v>
      </c>
      <c r="G275" t="s">
        <v>87</v>
      </c>
      <c r="H275">
        <v>371049</v>
      </c>
      <c r="I275" t="s">
        <v>191</v>
      </c>
      <c r="J275" s="6">
        <v>40</v>
      </c>
    </row>
    <row r="276" spans="4:10" hidden="1" x14ac:dyDescent="0.25">
      <c r="D276" s="8">
        <v>46079</v>
      </c>
      <c r="E276" s="9">
        <v>0.32916666666666666</v>
      </c>
      <c r="F276" t="s">
        <v>184</v>
      </c>
      <c r="G276" t="s">
        <v>167</v>
      </c>
      <c r="H276">
        <v>599806</v>
      </c>
      <c r="I276">
        <v>933836</v>
      </c>
      <c r="J276" s="6">
        <v>40</v>
      </c>
    </row>
    <row r="277" spans="4:10" hidden="1" x14ac:dyDescent="0.25">
      <c r="D277" s="8">
        <v>46079</v>
      </c>
      <c r="E277" s="9">
        <v>0.44097222222222221</v>
      </c>
      <c r="F277" t="s">
        <v>184</v>
      </c>
      <c r="G277" t="s">
        <v>167</v>
      </c>
      <c r="H277">
        <v>599844</v>
      </c>
      <c r="I277">
        <v>33630</v>
      </c>
      <c r="J277" s="6">
        <v>40</v>
      </c>
    </row>
    <row r="278" spans="4:10" hidden="1" x14ac:dyDescent="0.25">
      <c r="D278" s="8">
        <v>46079</v>
      </c>
      <c r="E278" s="9">
        <v>0.83750000000000002</v>
      </c>
      <c r="F278" t="s">
        <v>199</v>
      </c>
      <c r="G278" t="s">
        <v>87</v>
      </c>
      <c r="H278">
        <v>86935</v>
      </c>
      <c r="I278">
        <v>55690</v>
      </c>
      <c r="J278" s="6">
        <v>40</v>
      </c>
    </row>
    <row r="279" spans="4:10" hidden="1" x14ac:dyDescent="0.25">
      <c r="D279" s="8">
        <v>46079</v>
      </c>
      <c r="E279" s="9">
        <v>0.86041666666666672</v>
      </c>
      <c r="F279" t="s">
        <v>184</v>
      </c>
      <c r="G279" t="s">
        <v>167</v>
      </c>
      <c r="H279">
        <v>86954</v>
      </c>
      <c r="I279">
        <v>46132</v>
      </c>
      <c r="J279" s="6">
        <v>40</v>
      </c>
    </row>
    <row r="280" spans="4:10" hidden="1" x14ac:dyDescent="0.25">
      <c r="D280" s="8">
        <v>46079</v>
      </c>
      <c r="E280" s="9">
        <v>0.92291666666666672</v>
      </c>
      <c r="F280" t="s">
        <v>199</v>
      </c>
      <c r="G280" t="s">
        <v>87</v>
      </c>
      <c r="H280">
        <v>877790</v>
      </c>
      <c r="I280">
        <v>783871</v>
      </c>
      <c r="J280" s="6">
        <v>40</v>
      </c>
    </row>
    <row r="281" spans="4:10" hidden="1" x14ac:dyDescent="0.25">
      <c r="D281" s="8">
        <v>46079</v>
      </c>
      <c r="E281" s="9">
        <v>0.92152777777777772</v>
      </c>
      <c r="F281" t="s">
        <v>184</v>
      </c>
      <c r="G281" t="s">
        <v>167</v>
      </c>
      <c r="H281">
        <v>610811</v>
      </c>
      <c r="I281">
        <v>297718</v>
      </c>
      <c r="J281" s="6">
        <v>40</v>
      </c>
    </row>
    <row r="282" spans="4:10" hidden="1" x14ac:dyDescent="0.25">
      <c r="D282" s="8">
        <v>46079</v>
      </c>
      <c r="E282" s="9">
        <v>0.46041666666666664</v>
      </c>
      <c r="F282" t="s">
        <v>166</v>
      </c>
      <c r="G282" t="s">
        <v>236</v>
      </c>
      <c r="H282">
        <v>877668</v>
      </c>
      <c r="I282">
        <v>635278</v>
      </c>
      <c r="J282" s="6">
        <v>40</v>
      </c>
    </row>
    <row r="283" spans="4:10" hidden="1" x14ac:dyDescent="0.25">
      <c r="D283" s="8">
        <v>46079</v>
      </c>
      <c r="E283" s="9">
        <v>0.66041666666666665</v>
      </c>
      <c r="F283" t="s">
        <v>184</v>
      </c>
      <c r="G283" t="s">
        <v>236</v>
      </c>
      <c r="H283">
        <v>374187</v>
      </c>
      <c r="I283" t="s">
        <v>263</v>
      </c>
      <c r="J283" s="6">
        <v>40</v>
      </c>
    </row>
    <row r="284" spans="4:10" hidden="1" x14ac:dyDescent="0.25">
      <c r="D284" s="8">
        <v>46079</v>
      </c>
      <c r="E284" s="9">
        <v>0.67986111111111114</v>
      </c>
      <c r="F284" t="s">
        <v>184</v>
      </c>
      <c r="G284" t="s">
        <v>236</v>
      </c>
      <c r="H284">
        <v>610685</v>
      </c>
      <c r="I284" t="s">
        <v>265</v>
      </c>
      <c r="J284" s="6">
        <v>40</v>
      </c>
    </row>
    <row r="285" spans="4:10" hidden="1" x14ac:dyDescent="0.25">
      <c r="D285" s="8">
        <v>46079</v>
      </c>
      <c r="E285" s="9">
        <v>0.6069444444444444</v>
      </c>
      <c r="F285" t="s">
        <v>184</v>
      </c>
      <c r="G285" t="s">
        <v>87</v>
      </c>
      <c r="H285">
        <v>610660</v>
      </c>
      <c r="I285" t="s">
        <v>207</v>
      </c>
      <c r="J285" s="6">
        <v>40.630000000000003</v>
      </c>
    </row>
    <row r="286" spans="4:10" hidden="1" x14ac:dyDescent="0.25">
      <c r="D286" s="8">
        <v>46079</v>
      </c>
      <c r="E286" s="9">
        <v>0.85624999999999996</v>
      </c>
      <c r="F286" t="s">
        <v>184</v>
      </c>
      <c r="G286" t="s">
        <v>87</v>
      </c>
      <c r="H286">
        <v>877754</v>
      </c>
      <c r="I286" t="s">
        <v>225</v>
      </c>
      <c r="J286" s="6">
        <v>40.76</v>
      </c>
    </row>
    <row r="287" spans="4:10" hidden="1" x14ac:dyDescent="0.25">
      <c r="D287" s="8">
        <v>46079</v>
      </c>
      <c r="E287" s="9">
        <v>0.38055555555555554</v>
      </c>
      <c r="F287" t="s">
        <v>184</v>
      </c>
      <c r="G287" t="s">
        <v>87</v>
      </c>
      <c r="H287">
        <v>877611</v>
      </c>
      <c r="I287" t="s">
        <v>190</v>
      </c>
      <c r="J287" s="6">
        <v>41.01</v>
      </c>
    </row>
    <row r="288" spans="4:10" hidden="1" x14ac:dyDescent="0.25">
      <c r="D288" s="8">
        <v>46079</v>
      </c>
      <c r="E288" s="9">
        <v>0.53472222222222221</v>
      </c>
      <c r="F288" t="s">
        <v>184</v>
      </c>
      <c r="G288" t="s">
        <v>167</v>
      </c>
      <c r="H288">
        <v>610635</v>
      </c>
      <c r="I288">
        <v>224222</v>
      </c>
      <c r="J288" s="6">
        <v>41.04</v>
      </c>
    </row>
    <row r="289" spans="4:10" hidden="1" x14ac:dyDescent="0.25">
      <c r="D289" s="8">
        <v>46079</v>
      </c>
      <c r="E289" s="9">
        <v>0.47083333333333333</v>
      </c>
      <c r="F289" t="s">
        <v>166</v>
      </c>
      <c r="G289" t="s">
        <v>87</v>
      </c>
      <c r="H289">
        <v>869485</v>
      </c>
      <c r="I289">
        <v>140698</v>
      </c>
      <c r="J289" s="6">
        <v>41.91</v>
      </c>
    </row>
    <row r="290" spans="4:10" hidden="1" x14ac:dyDescent="0.25">
      <c r="D290" s="8">
        <v>46079</v>
      </c>
      <c r="E290" s="9">
        <v>0.26597222222222222</v>
      </c>
      <c r="F290" t="s">
        <v>184</v>
      </c>
      <c r="G290" t="s">
        <v>167</v>
      </c>
      <c r="H290">
        <v>599770</v>
      </c>
      <c r="I290">
        <v>265988</v>
      </c>
      <c r="J290" s="6">
        <v>42.01</v>
      </c>
    </row>
    <row r="291" spans="4:10" hidden="1" x14ac:dyDescent="0.25">
      <c r="D291" s="8">
        <v>46079</v>
      </c>
      <c r="E291" s="9">
        <v>0.78125</v>
      </c>
      <c r="F291" t="s">
        <v>184</v>
      </c>
      <c r="G291" t="s">
        <v>167</v>
      </c>
      <c r="H291">
        <v>374259</v>
      </c>
      <c r="I291">
        <v>852302</v>
      </c>
      <c r="J291" s="6">
        <v>42.88</v>
      </c>
    </row>
    <row r="292" spans="4:10" hidden="1" x14ac:dyDescent="0.25">
      <c r="D292" s="8">
        <v>46079</v>
      </c>
      <c r="E292" s="9">
        <v>0.62222222222222223</v>
      </c>
      <c r="F292" t="s">
        <v>166</v>
      </c>
      <c r="G292" t="s">
        <v>236</v>
      </c>
      <c r="H292">
        <v>374151</v>
      </c>
      <c r="I292">
        <v>682358</v>
      </c>
      <c r="J292" s="6">
        <v>43.21</v>
      </c>
    </row>
    <row r="293" spans="4:10" hidden="1" x14ac:dyDescent="0.25">
      <c r="D293" s="8">
        <v>46079</v>
      </c>
      <c r="E293" s="9">
        <v>0.29444444444444445</v>
      </c>
      <c r="F293" t="s">
        <v>184</v>
      </c>
      <c r="G293" t="s">
        <v>236</v>
      </c>
      <c r="H293">
        <v>599791</v>
      </c>
      <c r="I293" t="s">
        <v>258</v>
      </c>
      <c r="J293" s="6">
        <v>43.26</v>
      </c>
    </row>
    <row r="294" spans="4:10" hidden="1" x14ac:dyDescent="0.25">
      <c r="D294" s="8">
        <v>46079</v>
      </c>
      <c r="E294" s="9">
        <v>0.69722222222222219</v>
      </c>
      <c r="F294" t="s">
        <v>184</v>
      </c>
      <c r="G294" t="s">
        <v>236</v>
      </c>
      <c r="H294">
        <v>610696</v>
      </c>
      <c r="I294">
        <v>21255</v>
      </c>
      <c r="J294" s="6">
        <v>43.47</v>
      </c>
    </row>
    <row r="295" spans="4:10" hidden="1" x14ac:dyDescent="0.25">
      <c r="D295" s="8">
        <v>46079</v>
      </c>
      <c r="E295" s="9">
        <v>0.80972222222222223</v>
      </c>
      <c r="F295" t="s">
        <v>184</v>
      </c>
      <c r="G295" t="s">
        <v>87</v>
      </c>
      <c r="H295">
        <v>374283</v>
      </c>
      <c r="I295" t="s">
        <v>228</v>
      </c>
      <c r="J295" s="6">
        <v>44.01</v>
      </c>
    </row>
    <row r="296" spans="4:10" hidden="1" x14ac:dyDescent="0.25">
      <c r="D296" s="8">
        <v>46079</v>
      </c>
      <c r="E296" s="9">
        <v>0.69027777777777777</v>
      </c>
      <c r="F296" t="s">
        <v>166</v>
      </c>
      <c r="G296" t="s">
        <v>236</v>
      </c>
      <c r="H296">
        <v>86847</v>
      </c>
      <c r="I296" t="s">
        <v>237</v>
      </c>
      <c r="J296" s="6">
        <v>44.16</v>
      </c>
    </row>
    <row r="297" spans="4:10" hidden="1" x14ac:dyDescent="0.25">
      <c r="D297" s="8">
        <v>46079</v>
      </c>
      <c r="E297" s="9">
        <v>0.66388888888888886</v>
      </c>
      <c r="F297" t="s">
        <v>199</v>
      </c>
      <c r="G297" t="s">
        <v>249</v>
      </c>
      <c r="H297">
        <v>610676</v>
      </c>
      <c r="I297">
        <v>882348</v>
      </c>
      <c r="J297" s="6">
        <v>44.46</v>
      </c>
    </row>
    <row r="298" spans="4:10" hidden="1" x14ac:dyDescent="0.25">
      <c r="D298" s="8">
        <v>46079</v>
      </c>
      <c r="E298" s="9">
        <v>0.69652777777777775</v>
      </c>
      <c r="F298" t="s">
        <v>199</v>
      </c>
      <c r="G298" t="s">
        <v>236</v>
      </c>
      <c r="H298">
        <v>371186</v>
      </c>
      <c r="I298">
        <v>278669</v>
      </c>
      <c r="J298" s="6">
        <v>44.56</v>
      </c>
    </row>
    <row r="299" spans="4:10" hidden="1" x14ac:dyDescent="0.25">
      <c r="D299" s="8">
        <v>46079</v>
      </c>
      <c r="E299" s="9">
        <v>0.46805555555555556</v>
      </c>
      <c r="F299" t="s">
        <v>166</v>
      </c>
      <c r="G299" t="s">
        <v>87</v>
      </c>
      <c r="H299">
        <v>877676</v>
      </c>
      <c r="I299">
        <v>381915</v>
      </c>
      <c r="J299" s="6">
        <v>45</v>
      </c>
    </row>
    <row r="300" spans="4:10" hidden="1" x14ac:dyDescent="0.25">
      <c r="D300" s="8">
        <v>46079</v>
      </c>
      <c r="E300" s="9">
        <v>0.48888888888888887</v>
      </c>
      <c r="F300" t="s">
        <v>184</v>
      </c>
      <c r="G300" t="s">
        <v>167</v>
      </c>
      <c r="H300">
        <v>869490</v>
      </c>
      <c r="I300">
        <v>774534</v>
      </c>
      <c r="J300" s="6">
        <v>45</v>
      </c>
    </row>
    <row r="301" spans="4:10" hidden="1" x14ac:dyDescent="0.25">
      <c r="D301" s="8">
        <v>46079</v>
      </c>
      <c r="E301" s="9">
        <v>0.33541666666666664</v>
      </c>
      <c r="F301" t="s">
        <v>184</v>
      </c>
      <c r="G301" t="s">
        <v>236</v>
      </c>
      <c r="H301">
        <v>610534</v>
      </c>
      <c r="I301">
        <v>84176</v>
      </c>
      <c r="J301" s="6">
        <v>45</v>
      </c>
    </row>
    <row r="302" spans="4:10" hidden="1" x14ac:dyDescent="0.25">
      <c r="D302" s="8">
        <v>46079</v>
      </c>
      <c r="E302" s="9">
        <v>0.56527777777777777</v>
      </c>
      <c r="F302" t="s">
        <v>199</v>
      </c>
      <c r="G302" t="s">
        <v>249</v>
      </c>
      <c r="H302">
        <v>374112</v>
      </c>
      <c r="I302">
        <v>442448</v>
      </c>
      <c r="J302" s="6">
        <v>45</v>
      </c>
    </row>
    <row r="303" spans="4:10" hidden="1" x14ac:dyDescent="0.25">
      <c r="D303" s="8">
        <v>46079</v>
      </c>
      <c r="E303" s="9">
        <v>0.4465277777777778</v>
      </c>
      <c r="F303" t="s">
        <v>184</v>
      </c>
      <c r="G303" t="s">
        <v>167</v>
      </c>
      <c r="H303">
        <v>371122</v>
      </c>
      <c r="I303">
        <v>681909</v>
      </c>
      <c r="J303" s="6">
        <v>45.02</v>
      </c>
    </row>
    <row r="304" spans="4:10" hidden="1" x14ac:dyDescent="0.25">
      <c r="D304" s="8">
        <v>46079</v>
      </c>
      <c r="E304" s="9">
        <v>0.50555555555555554</v>
      </c>
      <c r="F304" t="s">
        <v>184</v>
      </c>
      <c r="G304" t="s">
        <v>236</v>
      </c>
      <c r="H304">
        <v>877693</v>
      </c>
      <c r="I304">
        <v>941047</v>
      </c>
      <c r="J304" s="6">
        <v>45.15</v>
      </c>
    </row>
    <row r="305" spans="1:10" hidden="1" x14ac:dyDescent="0.25">
      <c r="D305" s="8">
        <v>46079</v>
      </c>
      <c r="E305" s="9">
        <v>0.49166666666666664</v>
      </c>
      <c r="F305" t="s">
        <v>166</v>
      </c>
      <c r="G305" t="s">
        <v>236</v>
      </c>
      <c r="H305">
        <v>599869</v>
      </c>
      <c r="I305">
        <v>742820</v>
      </c>
      <c r="J305" s="6">
        <v>45.55</v>
      </c>
    </row>
    <row r="306" spans="1:10" hidden="1" x14ac:dyDescent="0.25">
      <c r="D306" s="8">
        <v>46079</v>
      </c>
      <c r="E306" s="9">
        <v>0.94236111111111109</v>
      </c>
      <c r="F306" t="s">
        <v>184</v>
      </c>
      <c r="G306" t="s">
        <v>87</v>
      </c>
      <c r="H306">
        <v>374380</v>
      </c>
      <c r="I306" t="s">
        <v>234</v>
      </c>
      <c r="J306" s="6">
        <v>46.75</v>
      </c>
    </row>
    <row r="307" spans="1:10" hidden="1" x14ac:dyDescent="0.25">
      <c r="D307" s="8">
        <v>46079</v>
      </c>
      <c r="E307" s="9">
        <v>0.91249999999999998</v>
      </c>
      <c r="F307" t="s">
        <v>199</v>
      </c>
      <c r="G307" t="s">
        <v>249</v>
      </c>
      <c r="H307">
        <v>86975</v>
      </c>
      <c r="I307">
        <v>985885</v>
      </c>
      <c r="J307" s="6">
        <v>47.08</v>
      </c>
    </row>
    <row r="308" spans="1:10" hidden="1" x14ac:dyDescent="0.25">
      <c r="D308" s="8">
        <v>46079</v>
      </c>
      <c r="E308" s="9">
        <v>0.62361111111111112</v>
      </c>
      <c r="F308" t="s">
        <v>184</v>
      </c>
      <c r="G308" t="s">
        <v>236</v>
      </c>
      <c r="H308">
        <v>374154</v>
      </c>
      <c r="I308">
        <v>73297</v>
      </c>
      <c r="J308" s="6">
        <v>47.3</v>
      </c>
    </row>
    <row r="309" spans="1:10" hidden="1" x14ac:dyDescent="0.25">
      <c r="D309" s="8">
        <v>46079</v>
      </c>
      <c r="E309" s="9">
        <v>0.81666666666666665</v>
      </c>
      <c r="F309" t="s">
        <v>166</v>
      </c>
      <c r="G309" t="s">
        <v>87</v>
      </c>
      <c r="H309">
        <v>374287</v>
      </c>
      <c r="I309">
        <v>168779</v>
      </c>
      <c r="J309" s="6">
        <v>48.15</v>
      </c>
    </row>
    <row r="310" spans="1:10" hidden="1" x14ac:dyDescent="0.25">
      <c r="D310" s="8">
        <v>46079</v>
      </c>
      <c r="E310" s="9">
        <v>0.72083333333333333</v>
      </c>
      <c r="F310" t="s">
        <v>166</v>
      </c>
      <c r="G310" t="s">
        <v>87</v>
      </c>
      <c r="H310">
        <v>86869</v>
      </c>
      <c r="I310">
        <v>162323</v>
      </c>
      <c r="J310" s="6">
        <v>48.2</v>
      </c>
    </row>
    <row r="311" spans="1:10" hidden="1" x14ac:dyDescent="0.25">
      <c r="D311" s="8">
        <v>46079</v>
      </c>
      <c r="E311" s="9">
        <v>0.28472222222222221</v>
      </c>
      <c r="F311" t="s">
        <v>184</v>
      </c>
      <c r="G311" t="s">
        <v>236</v>
      </c>
      <c r="H311">
        <v>599786</v>
      </c>
      <c r="I311">
        <v>883426</v>
      </c>
      <c r="J311" s="6">
        <v>48.45</v>
      </c>
    </row>
    <row r="312" spans="1:10" hidden="1" x14ac:dyDescent="0.25">
      <c r="D312" s="8">
        <v>46079</v>
      </c>
      <c r="E312" s="9">
        <v>0.25347222222222221</v>
      </c>
      <c r="F312" t="s">
        <v>184</v>
      </c>
      <c r="G312" t="s">
        <v>236</v>
      </c>
      <c r="H312">
        <v>599761</v>
      </c>
      <c r="I312">
        <v>279987</v>
      </c>
      <c r="J312" s="6">
        <v>48.51</v>
      </c>
    </row>
    <row r="313" spans="1:10" hidden="1" x14ac:dyDescent="0.25">
      <c r="D313" s="8">
        <v>46079</v>
      </c>
      <c r="E313" s="9">
        <v>0.18680555555555556</v>
      </c>
      <c r="F313" t="s">
        <v>166</v>
      </c>
      <c r="G313" t="s">
        <v>236</v>
      </c>
      <c r="H313">
        <v>374138</v>
      </c>
      <c r="I313">
        <v>63323</v>
      </c>
      <c r="J313" s="6">
        <v>48.55</v>
      </c>
    </row>
    <row r="314" spans="1:10" hidden="1" x14ac:dyDescent="0.25">
      <c r="D314" s="8">
        <v>46079</v>
      </c>
      <c r="E314" s="9">
        <v>0.57499999999999996</v>
      </c>
      <c r="F314" t="s">
        <v>184</v>
      </c>
      <c r="G314" t="s">
        <v>236</v>
      </c>
      <c r="H314">
        <v>610649</v>
      </c>
      <c r="I314">
        <v>52822</v>
      </c>
      <c r="J314" s="6">
        <v>48.64</v>
      </c>
    </row>
    <row r="315" spans="1:10" hidden="1" x14ac:dyDescent="0.25">
      <c r="D315" s="8">
        <v>46079</v>
      </c>
      <c r="E315" s="9">
        <v>0.53263888888888888</v>
      </c>
      <c r="F315" t="s">
        <v>184</v>
      </c>
      <c r="G315" t="s">
        <v>167</v>
      </c>
      <c r="H315">
        <v>610632</v>
      </c>
      <c r="I315">
        <v>785754</v>
      </c>
      <c r="J315" s="6">
        <v>48.65</v>
      </c>
    </row>
    <row r="316" spans="1:10" hidden="1" x14ac:dyDescent="0.25">
      <c r="D316" s="8">
        <v>46079</v>
      </c>
      <c r="E316" s="9">
        <v>0.41458333333333336</v>
      </c>
      <c r="F316" t="s">
        <v>199</v>
      </c>
      <c r="G316" t="s">
        <v>87</v>
      </c>
      <c r="H316">
        <v>754087</v>
      </c>
      <c r="I316">
        <v>979244</v>
      </c>
      <c r="J316" s="6">
        <v>48.7</v>
      </c>
    </row>
    <row r="317" spans="1:10" hidden="1" x14ac:dyDescent="0.25">
      <c r="D317" s="8">
        <v>46079</v>
      </c>
      <c r="E317" s="9">
        <v>0.3923611111111111</v>
      </c>
      <c r="F317" t="s">
        <v>184</v>
      </c>
      <c r="G317" t="s">
        <v>236</v>
      </c>
      <c r="H317">
        <v>754079</v>
      </c>
      <c r="I317">
        <v>923805</v>
      </c>
      <c r="J317" s="6">
        <v>48.7</v>
      </c>
    </row>
    <row r="318" spans="1:10" x14ac:dyDescent="0.25">
      <c r="A318" t="s">
        <v>137</v>
      </c>
      <c r="B318" t="s">
        <v>138</v>
      </c>
      <c r="C318" t="s">
        <v>101</v>
      </c>
      <c r="D318" s="8">
        <v>46079</v>
      </c>
      <c r="E318" s="9">
        <v>0.80277777777777781</v>
      </c>
      <c r="F318" t="s">
        <v>92</v>
      </c>
      <c r="G318" t="s">
        <v>92</v>
      </c>
      <c r="H318">
        <v>2177630</v>
      </c>
      <c r="J318" s="6">
        <v>48.75</v>
      </c>
    </row>
    <row r="319" spans="1:10" hidden="1" x14ac:dyDescent="0.25">
      <c r="D319" s="8">
        <v>46079</v>
      </c>
      <c r="E319" s="9">
        <v>0.7416666666666667</v>
      </c>
      <c r="F319" t="s">
        <v>184</v>
      </c>
      <c r="G319" t="s">
        <v>236</v>
      </c>
      <c r="H319">
        <v>371198</v>
      </c>
      <c r="I319">
        <v>47879</v>
      </c>
      <c r="J319" s="6">
        <v>48.75</v>
      </c>
    </row>
    <row r="320" spans="1:10" hidden="1" x14ac:dyDescent="0.25">
      <c r="D320" s="8">
        <v>46079</v>
      </c>
      <c r="E320" s="9">
        <v>0.14305555555555555</v>
      </c>
      <c r="F320" t="s">
        <v>184</v>
      </c>
      <c r="G320" t="s">
        <v>167</v>
      </c>
      <c r="H320">
        <v>373890</v>
      </c>
      <c r="I320">
        <v>168599</v>
      </c>
      <c r="J320" s="6">
        <v>48.85</v>
      </c>
    </row>
    <row r="321" spans="4:10" hidden="1" x14ac:dyDescent="0.25">
      <c r="D321" s="8">
        <v>46079</v>
      </c>
      <c r="E321" s="9">
        <v>0.3034722222222222</v>
      </c>
      <c r="F321" t="s">
        <v>184</v>
      </c>
      <c r="G321" t="s">
        <v>236</v>
      </c>
      <c r="H321">
        <v>877550</v>
      </c>
      <c r="I321">
        <v>95825</v>
      </c>
      <c r="J321" s="6">
        <v>49.05</v>
      </c>
    </row>
    <row r="322" spans="4:10" hidden="1" x14ac:dyDescent="0.25">
      <c r="D322" s="8">
        <v>46079</v>
      </c>
      <c r="E322" s="9">
        <v>0.58194444444444449</v>
      </c>
      <c r="F322" t="s">
        <v>184</v>
      </c>
      <c r="G322" t="s">
        <v>236</v>
      </c>
      <c r="H322">
        <v>754117</v>
      </c>
      <c r="I322">
        <v>15469</v>
      </c>
      <c r="J322" s="6">
        <v>49.47</v>
      </c>
    </row>
    <row r="323" spans="4:10" hidden="1" x14ac:dyDescent="0.25">
      <c r="D323" s="8">
        <v>46079</v>
      </c>
      <c r="E323" s="9">
        <v>0.39930555555555558</v>
      </c>
      <c r="F323" t="s">
        <v>199</v>
      </c>
      <c r="G323" t="s">
        <v>249</v>
      </c>
      <c r="H323">
        <v>877628</v>
      </c>
      <c r="I323">
        <v>448545</v>
      </c>
      <c r="J323" s="6">
        <v>49.9</v>
      </c>
    </row>
    <row r="324" spans="4:10" hidden="1" x14ac:dyDescent="0.25">
      <c r="D324" s="8">
        <v>46079</v>
      </c>
      <c r="E324" s="9">
        <v>0.52083333333333337</v>
      </c>
      <c r="F324" t="s">
        <v>184</v>
      </c>
      <c r="G324" t="s">
        <v>236</v>
      </c>
      <c r="H324">
        <v>610623</v>
      </c>
      <c r="I324">
        <v>19190</v>
      </c>
      <c r="J324" s="6">
        <v>49.99</v>
      </c>
    </row>
    <row r="325" spans="4:10" hidden="1" x14ac:dyDescent="0.25">
      <c r="D325" s="8">
        <v>46079</v>
      </c>
      <c r="E325" s="9">
        <v>0.41597222222222224</v>
      </c>
      <c r="F325" t="s">
        <v>166</v>
      </c>
      <c r="G325" t="s">
        <v>87</v>
      </c>
      <c r="H325">
        <v>610591</v>
      </c>
      <c r="I325">
        <v>591353</v>
      </c>
      <c r="J325" s="6">
        <v>50</v>
      </c>
    </row>
    <row r="326" spans="4:10" hidden="1" x14ac:dyDescent="0.25">
      <c r="D326" s="8">
        <v>46079</v>
      </c>
      <c r="E326" s="9">
        <v>0.65277777777777779</v>
      </c>
      <c r="F326" t="s">
        <v>166</v>
      </c>
      <c r="G326" t="s">
        <v>87</v>
      </c>
      <c r="H326">
        <v>754148</v>
      </c>
      <c r="I326">
        <v>156438</v>
      </c>
      <c r="J326" s="6">
        <v>50</v>
      </c>
    </row>
    <row r="327" spans="4:10" hidden="1" x14ac:dyDescent="0.25">
      <c r="D327" s="8">
        <v>46079</v>
      </c>
      <c r="E327" s="9">
        <v>0.81736111111111109</v>
      </c>
      <c r="F327" t="s">
        <v>166</v>
      </c>
      <c r="G327" t="s">
        <v>167</v>
      </c>
      <c r="H327">
        <v>610749</v>
      </c>
      <c r="I327" t="s">
        <v>181</v>
      </c>
      <c r="J327" s="6">
        <v>50</v>
      </c>
    </row>
    <row r="328" spans="4:10" hidden="1" x14ac:dyDescent="0.25">
      <c r="D328" s="8">
        <v>46079</v>
      </c>
      <c r="E328" s="9">
        <v>0.82430555555555551</v>
      </c>
      <c r="F328" t="s">
        <v>166</v>
      </c>
      <c r="G328" t="s">
        <v>87</v>
      </c>
      <c r="H328">
        <v>86923</v>
      </c>
      <c r="I328">
        <v>952967</v>
      </c>
      <c r="J328" s="6">
        <v>50</v>
      </c>
    </row>
    <row r="329" spans="4:10" hidden="1" x14ac:dyDescent="0.25">
      <c r="D329" s="8">
        <v>46079</v>
      </c>
      <c r="E329" s="9">
        <v>0.33333333333333331</v>
      </c>
      <c r="F329" t="s">
        <v>184</v>
      </c>
      <c r="G329" t="s">
        <v>87</v>
      </c>
      <c r="H329">
        <v>371087</v>
      </c>
      <c r="I329">
        <v>914920</v>
      </c>
      <c r="J329" s="6">
        <v>50</v>
      </c>
    </row>
    <row r="330" spans="4:10" hidden="1" x14ac:dyDescent="0.25">
      <c r="D330" s="8">
        <v>46079</v>
      </c>
      <c r="E330" s="9">
        <v>0.37083333333333335</v>
      </c>
      <c r="F330" t="s">
        <v>184</v>
      </c>
      <c r="G330" t="s">
        <v>87</v>
      </c>
      <c r="H330">
        <v>610557</v>
      </c>
      <c r="I330" t="s">
        <v>195</v>
      </c>
      <c r="J330" s="6">
        <v>50</v>
      </c>
    </row>
    <row r="331" spans="4:10" hidden="1" x14ac:dyDescent="0.25">
      <c r="D331" s="8">
        <v>46079</v>
      </c>
      <c r="E331" s="9">
        <v>0.37986111111111109</v>
      </c>
      <c r="F331" t="s">
        <v>184</v>
      </c>
      <c r="G331" t="s">
        <v>87</v>
      </c>
      <c r="H331">
        <v>754070</v>
      </c>
      <c r="I331">
        <v>621452</v>
      </c>
      <c r="J331" s="6">
        <v>50</v>
      </c>
    </row>
    <row r="332" spans="4:10" hidden="1" x14ac:dyDescent="0.25">
      <c r="D332" s="8">
        <v>46079</v>
      </c>
      <c r="E332" s="9">
        <v>0.41666666666666669</v>
      </c>
      <c r="F332" t="s">
        <v>199</v>
      </c>
      <c r="G332" t="s">
        <v>87</v>
      </c>
      <c r="H332">
        <v>86729</v>
      </c>
      <c r="I332">
        <v>436963</v>
      </c>
      <c r="J332" s="6">
        <v>50</v>
      </c>
    </row>
    <row r="333" spans="4:10" hidden="1" x14ac:dyDescent="0.25">
      <c r="D333" s="8">
        <v>46079</v>
      </c>
      <c r="E333" s="9">
        <v>2.5000000000000001E-2</v>
      </c>
      <c r="F333" t="s">
        <v>199</v>
      </c>
      <c r="G333" t="s">
        <v>87</v>
      </c>
      <c r="H333">
        <v>753995</v>
      </c>
      <c r="I333">
        <v>71329</v>
      </c>
      <c r="J333" s="6">
        <v>50</v>
      </c>
    </row>
    <row r="334" spans="4:10" hidden="1" x14ac:dyDescent="0.25">
      <c r="D334" s="8">
        <v>46079</v>
      </c>
      <c r="E334" s="9">
        <v>0.50624999999999998</v>
      </c>
      <c r="F334" t="s">
        <v>184</v>
      </c>
      <c r="G334" t="s">
        <v>87</v>
      </c>
      <c r="H334">
        <v>869500</v>
      </c>
      <c r="I334">
        <v>758436</v>
      </c>
      <c r="J334" s="6">
        <v>50</v>
      </c>
    </row>
    <row r="335" spans="4:10" hidden="1" x14ac:dyDescent="0.25">
      <c r="D335" s="8">
        <v>46079</v>
      </c>
      <c r="E335" s="9">
        <v>0.64444444444444449</v>
      </c>
      <c r="F335" t="s">
        <v>184</v>
      </c>
      <c r="G335" t="s">
        <v>87</v>
      </c>
      <c r="H335">
        <v>371159</v>
      </c>
      <c r="I335" t="s">
        <v>204</v>
      </c>
      <c r="J335" s="6">
        <v>50</v>
      </c>
    </row>
    <row r="336" spans="4:10" hidden="1" x14ac:dyDescent="0.25">
      <c r="D336" s="8">
        <v>46079</v>
      </c>
      <c r="E336" s="9">
        <v>0.5805555555555556</v>
      </c>
      <c r="F336" t="s">
        <v>199</v>
      </c>
      <c r="G336" t="s">
        <v>87</v>
      </c>
      <c r="H336">
        <v>754114</v>
      </c>
      <c r="I336">
        <v>383420</v>
      </c>
      <c r="J336" s="6">
        <v>50</v>
      </c>
    </row>
    <row r="337" spans="4:10" hidden="1" x14ac:dyDescent="0.25">
      <c r="D337" s="8">
        <v>46079</v>
      </c>
      <c r="E337" s="9">
        <v>0.64166666666666672</v>
      </c>
      <c r="F337" t="s">
        <v>184</v>
      </c>
      <c r="G337" t="s">
        <v>167</v>
      </c>
      <c r="H337">
        <v>754145</v>
      </c>
      <c r="I337">
        <v>750459</v>
      </c>
      <c r="J337" s="6">
        <v>50</v>
      </c>
    </row>
    <row r="338" spans="4:10" hidden="1" x14ac:dyDescent="0.25">
      <c r="D338" s="8">
        <v>46079</v>
      </c>
      <c r="E338" s="9">
        <v>0.625</v>
      </c>
      <c r="F338" t="s">
        <v>184</v>
      </c>
      <c r="G338" t="s">
        <v>167</v>
      </c>
      <c r="H338">
        <v>374156</v>
      </c>
      <c r="I338">
        <v>543308</v>
      </c>
      <c r="J338" s="6">
        <v>50</v>
      </c>
    </row>
    <row r="339" spans="4:10" hidden="1" x14ac:dyDescent="0.25">
      <c r="D339" s="8">
        <v>46079</v>
      </c>
      <c r="E339" s="9">
        <v>0.69236111111111109</v>
      </c>
      <c r="F339" t="s">
        <v>184</v>
      </c>
      <c r="G339" t="s">
        <v>167</v>
      </c>
      <c r="H339">
        <v>371183</v>
      </c>
      <c r="I339">
        <v>939533</v>
      </c>
      <c r="J339" s="6">
        <v>50</v>
      </c>
    </row>
    <row r="340" spans="4:10" hidden="1" x14ac:dyDescent="0.25">
      <c r="D340" s="8">
        <v>46079</v>
      </c>
      <c r="E340" s="9">
        <v>0.72083333333333333</v>
      </c>
      <c r="F340" t="s">
        <v>184</v>
      </c>
      <c r="G340" t="s">
        <v>167</v>
      </c>
      <c r="H340">
        <v>754192</v>
      </c>
      <c r="I340">
        <v>388773</v>
      </c>
      <c r="J340" s="6">
        <v>50</v>
      </c>
    </row>
    <row r="341" spans="4:10" hidden="1" x14ac:dyDescent="0.25">
      <c r="D341" s="8">
        <v>46079</v>
      </c>
      <c r="E341" s="9">
        <v>0.87430555555555556</v>
      </c>
      <c r="F341" t="s">
        <v>184</v>
      </c>
      <c r="G341" t="s">
        <v>167</v>
      </c>
      <c r="H341">
        <v>877764</v>
      </c>
      <c r="I341">
        <v>79153</v>
      </c>
      <c r="J341" s="6">
        <v>50</v>
      </c>
    </row>
    <row r="342" spans="4:10" hidden="1" x14ac:dyDescent="0.25">
      <c r="D342" s="8">
        <v>46079</v>
      </c>
      <c r="E342" s="9">
        <v>0.78541666666666665</v>
      </c>
      <c r="F342" t="s">
        <v>184</v>
      </c>
      <c r="G342" t="s">
        <v>167</v>
      </c>
      <c r="H342">
        <v>374267</v>
      </c>
      <c r="I342">
        <v>583860</v>
      </c>
      <c r="J342" s="6">
        <v>50</v>
      </c>
    </row>
    <row r="343" spans="4:10" hidden="1" x14ac:dyDescent="0.25">
      <c r="D343" s="8">
        <v>46079</v>
      </c>
      <c r="E343" s="9">
        <v>0.91597222222222219</v>
      </c>
      <c r="F343" t="s">
        <v>184</v>
      </c>
      <c r="G343" t="s">
        <v>87</v>
      </c>
      <c r="H343">
        <v>610805</v>
      </c>
      <c r="I343" t="s">
        <v>232</v>
      </c>
      <c r="J343" s="6">
        <v>50</v>
      </c>
    </row>
    <row r="344" spans="4:10" hidden="1" x14ac:dyDescent="0.25">
      <c r="D344" s="8">
        <v>46079</v>
      </c>
      <c r="E344" s="9">
        <v>0.8520833333333333</v>
      </c>
      <c r="F344" t="s">
        <v>199</v>
      </c>
      <c r="G344" t="s">
        <v>87</v>
      </c>
      <c r="H344">
        <v>374317</v>
      </c>
      <c r="I344">
        <v>20895</v>
      </c>
      <c r="J344" s="6">
        <v>50</v>
      </c>
    </row>
    <row r="345" spans="4:10" hidden="1" x14ac:dyDescent="0.25">
      <c r="D345" s="8">
        <v>46079</v>
      </c>
      <c r="E345" s="9">
        <v>0.86805555555555558</v>
      </c>
      <c r="F345" t="s">
        <v>166</v>
      </c>
      <c r="G345" t="s">
        <v>236</v>
      </c>
      <c r="H345">
        <v>877761</v>
      </c>
      <c r="I345">
        <v>1638</v>
      </c>
      <c r="J345" s="6">
        <v>50</v>
      </c>
    </row>
    <row r="346" spans="4:10" hidden="1" x14ac:dyDescent="0.25">
      <c r="D346" s="8">
        <v>46079</v>
      </c>
      <c r="E346" s="9">
        <v>0.8618055555555556</v>
      </c>
      <c r="F346" t="s">
        <v>166</v>
      </c>
      <c r="G346" t="s">
        <v>236</v>
      </c>
      <c r="H346">
        <v>610783</v>
      </c>
      <c r="I346">
        <v>940345</v>
      </c>
      <c r="J346" s="6">
        <v>50</v>
      </c>
    </row>
    <row r="347" spans="4:10" hidden="1" x14ac:dyDescent="0.25">
      <c r="D347" s="8">
        <v>46079</v>
      </c>
      <c r="E347" s="9">
        <v>0.43611111111111112</v>
      </c>
      <c r="F347" t="s">
        <v>166</v>
      </c>
      <c r="G347" t="s">
        <v>236</v>
      </c>
      <c r="H347">
        <v>371119</v>
      </c>
      <c r="I347" t="s">
        <v>242</v>
      </c>
      <c r="J347" s="6">
        <v>50</v>
      </c>
    </row>
    <row r="348" spans="4:10" hidden="1" x14ac:dyDescent="0.25">
      <c r="D348" s="8">
        <v>46079</v>
      </c>
      <c r="E348" s="9">
        <v>0.27500000000000002</v>
      </c>
      <c r="F348" t="s">
        <v>166</v>
      </c>
      <c r="G348" t="s">
        <v>236</v>
      </c>
      <c r="H348">
        <v>610502</v>
      </c>
      <c r="I348">
        <v>255002</v>
      </c>
      <c r="J348" s="6">
        <v>50</v>
      </c>
    </row>
    <row r="349" spans="4:10" hidden="1" x14ac:dyDescent="0.25">
      <c r="D349" s="8">
        <v>46079</v>
      </c>
      <c r="E349" s="9">
        <v>0.57430555555555551</v>
      </c>
      <c r="F349" t="s">
        <v>166</v>
      </c>
      <c r="G349" t="s">
        <v>236</v>
      </c>
      <c r="H349">
        <v>374119</v>
      </c>
      <c r="I349">
        <v>671492</v>
      </c>
      <c r="J349" s="6">
        <v>50</v>
      </c>
    </row>
    <row r="350" spans="4:10" hidden="1" x14ac:dyDescent="0.25">
      <c r="D350" s="8">
        <v>46079</v>
      </c>
      <c r="E350" s="9">
        <v>0.73819444444444449</v>
      </c>
      <c r="F350" t="s">
        <v>184</v>
      </c>
      <c r="G350" t="s">
        <v>236</v>
      </c>
      <c r="H350">
        <v>86880</v>
      </c>
      <c r="I350" t="s">
        <v>246</v>
      </c>
      <c r="J350" s="6">
        <v>50</v>
      </c>
    </row>
    <row r="351" spans="4:10" hidden="1" x14ac:dyDescent="0.25">
      <c r="D351" s="8">
        <v>46079</v>
      </c>
      <c r="E351" s="9">
        <v>0.78888888888888886</v>
      </c>
      <c r="F351" t="s">
        <v>184</v>
      </c>
      <c r="G351" t="s">
        <v>236</v>
      </c>
      <c r="H351">
        <v>86901</v>
      </c>
      <c r="I351" t="s">
        <v>247</v>
      </c>
      <c r="J351" s="6">
        <v>50</v>
      </c>
    </row>
    <row r="352" spans="4:10" hidden="1" x14ac:dyDescent="0.25">
      <c r="D352" s="8">
        <v>46079</v>
      </c>
      <c r="E352" s="9">
        <v>0.69930555555555551</v>
      </c>
      <c r="F352" t="s">
        <v>184</v>
      </c>
      <c r="G352" t="s">
        <v>236</v>
      </c>
      <c r="H352">
        <v>754175</v>
      </c>
      <c r="I352">
        <v>911655</v>
      </c>
      <c r="J352" s="6">
        <v>50</v>
      </c>
    </row>
    <row r="353" spans="4:10" hidden="1" x14ac:dyDescent="0.25">
      <c r="D353" s="8">
        <v>46079</v>
      </c>
      <c r="E353" s="9">
        <v>0.83194444444444449</v>
      </c>
      <c r="F353" t="s">
        <v>184</v>
      </c>
      <c r="G353" t="s">
        <v>236</v>
      </c>
      <c r="H353">
        <v>86932</v>
      </c>
      <c r="I353">
        <v>41149</v>
      </c>
      <c r="J353" s="6">
        <v>50</v>
      </c>
    </row>
    <row r="354" spans="4:10" hidden="1" x14ac:dyDescent="0.25">
      <c r="D354" s="8">
        <v>46079</v>
      </c>
      <c r="E354" s="9">
        <v>0.85624999999999996</v>
      </c>
      <c r="F354" t="s">
        <v>184</v>
      </c>
      <c r="G354" t="s">
        <v>236</v>
      </c>
      <c r="H354">
        <v>610773</v>
      </c>
      <c r="I354">
        <v>355162</v>
      </c>
      <c r="J354" s="6">
        <v>50</v>
      </c>
    </row>
    <row r="355" spans="4:10" hidden="1" x14ac:dyDescent="0.25">
      <c r="D355" s="8">
        <v>46079</v>
      </c>
      <c r="E355" s="9">
        <v>0.85902777777777772</v>
      </c>
      <c r="F355" t="s">
        <v>184</v>
      </c>
      <c r="G355" t="s">
        <v>236</v>
      </c>
      <c r="H355">
        <v>610779</v>
      </c>
      <c r="I355">
        <v>359008</v>
      </c>
      <c r="J355" s="6">
        <v>50</v>
      </c>
    </row>
    <row r="356" spans="4:10" hidden="1" x14ac:dyDescent="0.25">
      <c r="D356" s="8">
        <v>46079</v>
      </c>
      <c r="E356" s="9">
        <v>0.93402777777777779</v>
      </c>
      <c r="F356" t="s">
        <v>184</v>
      </c>
      <c r="G356" t="s">
        <v>249</v>
      </c>
      <c r="H356">
        <v>877793</v>
      </c>
      <c r="I356">
        <v>783528</v>
      </c>
      <c r="J356" s="6">
        <v>50</v>
      </c>
    </row>
    <row r="357" spans="4:10" hidden="1" x14ac:dyDescent="0.25">
      <c r="D357" s="8">
        <v>46079</v>
      </c>
      <c r="E357" s="9">
        <v>0.3125</v>
      </c>
      <c r="F357" t="s">
        <v>184</v>
      </c>
      <c r="G357" t="s">
        <v>236</v>
      </c>
      <c r="H357">
        <v>610521</v>
      </c>
      <c r="I357">
        <v>164232</v>
      </c>
      <c r="J357" s="6">
        <v>50</v>
      </c>
    </row>
    <row r="358" spans="4:10" hidden="1" x14ac:dyDescent="0.25">
      <c r="D358" s="8">
        <v>46079</v>
      </c>
      <c r="E358" s="9">
        <v>0.33402777777777776</v>
      </c>
      <c r="F358" t="s">
        <v>184</v>
      </c>
      <c r="G358" t="s">
        <v>236</v>
      </c>
      <c r="H358">
        <v>610532</v>
      </c>
      <c r="I358">
        <v>74044</v>
      </c>
      <c r="J358" s="6">
        <v>50</v>
      </c>
    </row>
    <row r="359" spans="4:10" hidden="1" x14ac:dyDescent="0.25">
      <c r="D359" s="8">
        <v>46079</v>
      </c>
      <c r="E359" s="9">
        <v>0.3888888888888889</v>
      </c>
      <c r="F359" t="s">
        <v>184</v>
      </c>
      <c r="G359" t="s">
        <v>236</v>
      </c>
      <c r="H359">
        <v>610568</v>
      </c>
      <c r="I359">
        <v>878782</v>
      </c>
      <c r="J359" s="6">
        <v>50</v>
      </c>
    </row>
    <row r="360" spans="4:10" hidden="1" x14ac:dyDescent="0.25">
      <c r="D360" s="8">
        <v>46079</v>
      </c>
      <c r="E360" s="9">
        <v>0.2722222222222222</v>
      </c>
      <c r="F360" t="s">
        <v>184</v>
      </c>
      <c r="G360" t="s">
        <v>236</v>
      </c>
      <c r="H360">
        <v>599777</v>
      </c>
      <c r="I360" t="s">
        <v>257</v>
      </c>
      <c r="J360" s="6">
        <v>50</v>
      </c>
    </row>
    <row r="361" spans="4:10" hidden="1" x14ac:dyDescent="0.25">
      <c r="D361" s="8">
        <v>46079</v>
      </c>
      <c r="E361" s="9">
        <v>0.2326388888888889</v>
      </c>
      <c r="F361" t="s">
        <v>199</v>
      </c>
      <c r="G361" t="s">
        <v>236</v>
      </c>
      <c r="H361">
        <v>610467</v>
      </c>
      <c r="I361">
        <v>654986</v>
      </c>
      <c r="J361" s="6">
        <v>50</v>
      </c>
    </row>
    <row r="362" spans="4:10" hidden="1" x14ac:dyDescent="0.25">
      <c r="D362" s="8">
        <v>46079</v>
      </c>
      <c r="E362" s="9">
        <v>0.30555555555555558</v>
      </c>
      <c r="F362" t="s">
        <v>199</v>
      </c>
      <c r="G362" t="s">
        <v>249</v>
      </c>
      <c r="H362">
        <v>877553</v>
      </c>
      <c r="I362">
        <v>622210</v>
      </c>
      <c r="J362" s="6">
        <v>50</v>
      </c>
    </row>
    <row r="363" spans="4:10" hidden="1" x14ac:dyDescent="0.25">
      <c r="D363" s="8">
        <v>46079</v>
      </c>
      <c r="E363" s="9">
        <v>3.6805555555555557E-2</v>
      </c>
      <c r="F363" t="s">
        <v>199</v>
      </c>
      <c r="G363" t="s">
        <v>249</v>
      </c>
      <c r="H363">
        <v>754001</v>
      </c>
      <c r="I363">
        <v>535394</v>
      </c>
      <c r="J363" s="6">
        <v>50</v>
      </c>
    </row>
    <row r="364" spans="4:10" hidden="1" x14ac:dyDescent="0.25">
      <c r="D364" s="8">
        <v>46079</v>
      </c>
      <c r="E364" s="9">
        <v>0.53472222222222221</v>
      </c>
      <c r="F364" t="s">
        <v>184</v>
      </c>
      <c r="G364" t="s">
        <v>236</v>
      </c>
      <c r="H364">
        <v>374171</v>
      </c>
      <c r="I364" t="s">
        <v>262</v>
      </c>
      <c r="J364" s="6">
        <v>50</v>
      </c>
    </row>
    <row r="365" spans="4:10" hidden="1" x14ac:dyDescent="0.25">
      <c r="D365" s="8">
        <v>46079</v>
      </c>
      <c r="E365" s="9">
        <v>0.54097222222222219</v>
      </c>
      <c r="F365" t="s">
        <v>184</v>
      </c>
      <c r="G365" t="s">
        <v>236</v>
      </c>
      <c r="H365">
        <v>374174</v>
      </c>
      <c r="I365">
        <v>886026</v>
      </c>
      <c r="J365" s="6">
        <v>50</v>
      </c>
    </row>
    <row r="366" spans="4:10" hidden="1" x14ac:dyDescent="0.25">
      <c r="D366" s="8">
        <v>46079</v>
      </c>
      <c r="E366" s="9">
        <v>0.56805555555555554</v>
      </c>
      <c r="F366" t="s">
        <v>184</v>
      </c>
      <c r="G366" t="s">
        <v>236</v>
      </c>
      <c r="H366">
        <v>754108</v>
      </c>
      <c r="I366">
        <v>904052</v>
      </c>
      <c r="J366" s="6">
        <v>50</v>
      </c>
    </row>
    <row r="367" spans="4:10" hidden="1" x14ac:dyDescent="0.25">
      <c r="D367" s="8">
        <v>46079</v>
      </c>
      <c r="E367" s="9">
        <v>0.5756944444444444</v>
      </c>
      <c r="F367" t="s">
        <v>199</v>
      </c>
      <c r="G367" t="s">
        <v>249</v>
      </c>
      <c r="H367">
        <v>86817</v>
      </c>
      <c r="I367">
        <v>576720</v>
      </c>
      <c r="J367" s="6">
        <v>50</v>
      </c>
    </row>
    <row r="368" spans="4:10" hidden="1" x14ac:dyDescent="0.25">
      <c r="D368" s="8">
        <v>46079</v>
      </c>
      <c r="E368" s="9">
        <v>0.60902777777777772</v>
      </c>
      <c r="F368" t="s">
        <v>199</v>
      </c>
      <c r="G368" t="s">
        <v>236</v>
      </c>
      <c r="H368">
        <v>374145</v>
      </c>
      <c r="I368">
        <v>839527</v>
      </c>
      <c r="J368" s="6">
        <v>50</v>
      </c>
    </row>
    <row r="369" spans="4:10" hidden="1" x14ac:dyDescent="0.25">
      <c r="D369" s="8">
        <v>46079</v>
      </c>
      <c r="E369" s="9">
        <v>0.19722222222222222</v>
      </c>
      <c r="F369" t="s">
        <v>184</v>
      </c>
      <c r="G369" t="s">
        <v>236</v>
      </c>
      <c r="H369">
        <v>371019</v>
      </c>
      <c r="I369">
        <v>41531</v>
      </c>
      <c r="J369" s="6">
        <v>50.03</v>
      </c>
    </row>
    <row r="370" spans="4:10" hidden="1" x14ac:dyDescent="0.25">
      <c r="D370" s="8">
        <v>46079</v>
      </c>
      <c r="E370" s="9">
        <v>0.66874999999999996</v>
      </c>
      <c r="F370" t="s">
        <v>184</v>
      </c>
      <c r="G370" t="s">
        <v>236</v>
      </c>
      <c r="H370">
        <v>374198</v>
      </c>
      <c r="I370">
        <v>646107</v>
      </c>
      <c r="J370" s="6">
        <v>50.05</v>
      </c>
    </row>
    <row r="371" spans="4:10" hidden="1" x14ac:dyDescent="0.25">
      <c r="D371" s="8">
        <v>46079</v>
      </c>
      <c r="E371" s="9">
        <v>0.74861111111111112</v>
      </c>
      <c r="F371" t="s">
        <v>166</v>
      </c>
      <c r="G371" t="s">
        <v>236</v>
      </c>
      <c r="H371">
        <v>371207</v>
      </c>
      <c r="I371">
        <v>965985</v>
      </c>
      <c r="J371" s="6">
        <v>50.64</v>
      </c>
    </row>
    <row r="372" spans="4:10" hidden="1" x14ac:dyDescent="0.25">
      <c r="D372" s="8">
        <v>46079</v>
      </c>
      <c r="E372" s="9">
        <v>0.34861111111111109</v>
      </c>
      <c r="F372" t="s">
        <v>199</v>
      </c>
      <c r="G372" t="s">
        <v>249</v>
      </c>
      <c r="H372">
        <v>877593</v>
      </c>
      <c r="I372">
        <v>927197</v>
      </c>
      <c r="J372" s="6">
        <v>50.64</v>
      </c>
    </row>
    <row r="373" spans="4:10" hidden="1" x14ac:dyDescent="0.25">
      <c r="D373" s="8">
        <v>46079</v>
      </c>
      <c r="E373" s="9">
        <v>0.83750000000000002</v>
      </c>
      <c r="F373" t="s">
        <v>184</v>
      </c>
      <c r="G373" t="s">
        <v>236</v>
      </c>
      <c r="H373">
        <v>877740</v>
      </c>
      <c r="I373">
        <v>62576</v>
      </c>
      <c r="J373" s="6">
        <v>50.74</v>
      </c>
    </row>
    <row r="374" spans="4:10" hidden="1" x14ac:dyDescent="0.25">
      <c r="D374" s="8">
        <v>46079</v>
      </c>
      <c r="E374" s="9">
        <v>0.71458333333333335</v>
      </c>
      <c r="F374" t="s">
        <v>184</v>
      </c>
      <c r="G374" t="s">
        <v>167</v>
      </c>
      <c r="H374">
        <v>86863</v>
      </c>
      <c r="I374">
        <v>139540</v>
      </c>
      <c r="J374" s="6">
        <v>50.89</v>
      </c>
    </row>
    <row r="375" spans="4:10" hidden="1" x14ac:dyDescent="0.25">
      <c r="D375" s="8">
        <v>46079</v>
      </c>
      <c r="E375" s="9">
        <v>0.97013888888888888</v>
      </c>
      <c r="F375" t="s">
        <v>199</v>
      </c>
      <c r="G375" t="s">
        <v>249</v>
      </c>
      <c r="H375">
        <v>877796</v>
      </c>
      <c r="I375">
        <v>180040</v>
      </c>
      <c r="J375" s="6">
        <v>50.99</v>
      </c>
    </row>
    <row r="376" spans="4:10" hidden="1" x14ac:dyDescent="0.25">
      <c r="D376" s="8">
        <v>46079</v>
      </c>
      <c r="E376" s="9">
        <v>0.3034722222222222</v>
      </c>
      <c r="F376" t="s">
        <v>199</v>
      </c>
      <c r="G376" t="s">
        <v>236</v>
      </c>
      <c r="H376">
        <v>371068</v>
      </c>
      <c r="I376">
        <v>536570</v>
      </c>
      <c r="J376" s="6">
        <v>51.02</v>
      </c>
    </row>
    <row r="377" spans="4:10" hidden="1" x14ac:dyDescent="0.25">
      <c r="D377" s="8">
        <v>46079</v>
      </c>
      <c r="E377" s="9">
        <v>6.9444444444444441E-3</v>
      </c>
      <c r="F377" t="s">
        <v>184</v>
      </c>
      <c r="G377" t="s">
        <v>236</v>
      </c>
      <c r="H377">
        <v>374076</v>
      </c>
      <c r="I377">
        <v>79142</v>
      </c>
      <c r="J377" s="6">
        <v>51.17</v>
      </c>
    </row>
    <row r="378" spans="4:10" hidden="1" x14ac:dyDescent="0.25">
      <c r="D378" s="8">
        <v>46079</v>
      </c>
      <c r="E378" s="9">
        <v>0.2951388888888889</v>
      </c>
      <c r="F378" t="s">
        <v>184</v>
      </c>
      <c r="G378" t="s">
        <v>167</v>
      </c>
      <c r="H378">
        <v>877545</v>
      </c>
      <c r="I378">
        <v>308862</v>
      </c>
      <c r="J378" s="6">
        <v>51.64</v>
      </c>
    </row>
    <row r="379" spans="4:10" hidden="1" x14ac:dyDescent="0.25">
      <c r="D379" s="8">
        <v>46079</v>
      </c>
      <c r="E379" s="9">
        <v>3.5416666666666666E-2</v>
      </c>
      <c r="F379" t="s">
        <v>184</v>
      </c>
      <c r="G379" t="s">
        <v>87</v>
      </c>
      <c r="H379">
        <v>753999</v>
      </c>
      <c r="I379">
        <v>834292</v>
      </c>
      <c r="J379" s="6">
        <v>51.79</v>
      </c>
    </row>
    <row r="380" spans="4:10" hidden="1" x14ac:dyDescent="0.25">
      <c r="D380" s="8">
        <v>46079</v>
      </c>
      <c r="E380" s="9">
        <v>0.39583333333333331</v>
      </c>
      <c r="F380" t="s">
        <v>184</v>
      </c>
      <c r="G380" t="s">
        <v>236</v>
      </c>
      <c r="H380">
        <v>599823</v>
      </c>
      <c r="I380" t="s">
        <v>259</v>
      </c>
      <c r="J380" s="6">
        <v>51.99</v>
      </c>
    </row>
    <row r="381" spans="4:10" hidden="1" x14ac:dyDescent="0.25">
      <c r="D381" s="8">
        <v>46079</v>
      </c>
      <c r="E381" s="9">
        <v>0.59305555555555556</v>
      </c>
      <c r="F381" t="s">
        <v>199</v>
      </c>
      <c r="G381" t="s">
        <v>87</v>
      </c>
      <c r="H381">
        <v>374131</v>
      </c>
      <c r="I381">
        <v>383623</v>
      </c>
      <c r="J381" s="6">
        <v>52.29</v>
      </c>
    </row>
    <row r="382" spans="4:10" hidden="1" x14ac:dyDescent="0.25">
      <c r="D382" s="8">
        <v>46079</v>
      </c>
      <c r="E382" s="9">
        <v>0.69861111111111107</v>
      </c>
      <c r="F382" t="s">
        <v>166</v>
      </c>
      <c r="G382" t="s">
        <v>87</v>
      </c>
      <c r="H382">
        <v>86857</v>
      </c>
      <c r="I382">
        <v>24248</v>
      </c>
      <c r="J382" s="6">
        <v>52.54</v>
      </c>
    </row>
    <row r="383" spans="4:10" hidden="1" x14ac:dyDescent="0.25">
      <c r="D383" s="8">
        <v>46079</v>
      </c>
      <c r="E383" s="9">
        <v>0.89375000000000004</v>
      </c>
      <c r="F383" t="s">
        <v>166</v>
      </c>
      <c r="G383" t="s">
        <v>236</v>
      </c>
      <c r="H383">
        <v>374342</v>
      </c>
      <c r="I383" t="s">
        <v>240</v>
      </c>
      <c r="J383" s="6">
        <v>52.54</v>
      </c>
    </row>
    <row r="384" spans="4:10" hidden="1" x14ac:dyDescent="0.25">
      <c r="D384" s="8">
        <v>46079</v>
      </c>
      <c r="E384" s="9">
        <v>0.31527777777777777</v>
      </c>
      <c r="F384" t="s">
        <v>184</v>
      </c>
      <c r="G384" t="s">
        <v>236</v>
      </c>
      <c r="H384">
        <v>754052</v>
      </c>
      <c r="I384">
        <v>419562</v>
      </c>
      <c r="J384" s="6">
        <v>52.56</v>
      </c>
    </row>
    <row r="385" spans="1:10" hidden="1" x14ac:dyDescent="0.25">
      <c r="D385" s="8">
        <v>46079</v>
      </c>
      <c r="E385" s="9">
        <v>0.31111111111111112</v>
      </c>
      <c r="F385" t="s">
        <v>184</v>
      </c>
      <c r="G385" t="s">
        <v>87</v>
      </c>
      <c r="H385">
        <v>754046</v>
      </c>
      <c r="I385">
        <v>252142</v>
      </c>
      <c r="J385" s="6">
        <v>52.88</v>
      </c>
    </row>
    <row r="386" spans="1:10" hidden="1" x14ac:dyDescent="0.25">
      <c r="D386" s="8">
        <v>46079</v>
      </c>
      <c r="E386" s="9">
        <v>0.67638888888888893</v>
      </c>
      <c r="F386" t="s">
        <v>199</v>
      </c>
      <c r="G386" t="s">
        <v>87</v>
      </c>
      <c r="H386">
        <v>86842</v>
      </c>
      <c r="I386">
        <v>510717</v>
      </c>
      <c r="J386" s="6">
        <v>53</v>
      </c>
    </row>
    <row r="387" spans="1:10" hidden="1" x14ac:dyDescent="0.25">
      <c r="D387" s="8">
        <v>46079</v>
      </c>
      <c r="E387" s="9">
        <v>0.24374999999999999</v>
      </c>
      <c r="F387" t="s">
        <v>184</v>
      </c>
      <c r="G387" t="s">
        <v>236</v>
      </c>
      <c r="H387">
        <v>374165</v>
      </c>
      <c r="I387">
        <v>53917</v>
      </c>
      <c r="J387" s="6">
        <v>53.02</v>
      </c>
    </row>
    <row r="388" spans="1:10" hidden="1" x14ac:dyDescent="0.25">
      <c r="D388" s="8">
        <v>46079</v>
      </c>
      <c r="E388" s="9">
        <v>0.30138888888888887</v>
      </c>
      <c r="F388" t="s">
        <v>184</v>
      </c>
      <c r="G388" t="s">
        <v>236</v>
      </c>
      <c r="H388">
        <v>754043</v>
      </c>
      <c r="I388" t="s">
        <v>261</v>
      </c>
      <c r="J388" s="6">
        <v>53.09</v>
      </c>
    </row>
    <row r="389" spans="1:10" hidden="1" x14ac:dyDescent="0.25">
      <c r="D389" s="8">
        <v>46079</v>
      </c>
      <c r="E389" s="9">
        <v>0.37083333333333335</v>
      </c>
      <c r="F389" t="s">
        <v>166</v>
      </c>
      <c r="G389" t="s">
        <v>87</v>
      </c>
      <c r="H389">
        <v>877605</v>
      </c>
      <c r="I389">
        <v>132042</v>
      </c>
      <c r="J389" s="6">
        <v>53.41</v>
      </c>
    </row>
    <row r="390" spans="1:10" hidden="1" x14ac:dyDescent="0.25">
      <c r="D390" s="8">
        <v>46079</v>
      </c>
      <c r="E390" s="9">
        <v>0.5805555555555556</v>
      </c>
      <c r="F390" t="s">
        <v>184</v>
      </c>
      <c r="G390" t="s">
        <v>167</v>
      </c>
      <c r="H390">
        <v>610655</v>
      </c>
      <c r="I390">
        <v>801765</v>
      </c>
      <c r="J390" s="6">
        <v>53.44</v>
      </c>
    </row>
    <row r="391" spans="1:10" hidden="1" x14ac:dyDescent="0.25">
      <c r="D391" s="8">
        <v>46079</v>
      </c>
      <c r="E391" s="9">
        <v>0.45277777777777778</v>
      </c>
      <c r="F391" t="s">
        <v>184</v>
      </c>
      <c r="G391" t="s">
        <v>236</v>
      </c>
      <c r="H391">
        <v>371126</v>
      </c>
      <c r="I391">
        <v>89448</v>
      </c>
      <c r="J391" s="6">
        <v>53.93</v>
      </c>
    </row>
    <row r="392" spans="1:10" x14ac:dyDescent="0.25">
      <c r="A392" t="s">
        <v>125</v>
      </c>
      <c r="B392" t="s">
        <v>126</v>
      </c>
      <c r="C392" t="s">
        <v>120</v>
      </c>
      <c r="D392" s="8">
        <v>46079</v>
      </c>
      <c r="E392" s="9">
        <v>0.78888888888888886</v>
      </c>
      <c r="F392" t="s">
        <v>92</v>
      </c>
      <c r="G392" t="s">
        <v>92</v>
      </c>
      <c r="H392">
        <v>2107638</v>
      </c>
      <c r="J392" s="6">
        <v>53.99</v>
      </c>
    </row>
    <row r="393" spans="1:10" hidden="1" x14ac:dyDescent="0.25">
      <c r="D393" s="8">
        <v>46079</v>
      </c>
      <c r="E393" s="9">
        <v>0.57847222222222228</v>
      </c>
      <c r="F393" t="s">
        <v>184</v>
      </c>
      <c r="G393" t="s">
        <v>87</v>
      </c>
      <c r="H393">
        <v>610652</v>
      </c>
      <c r="I393" t="s">
        <v>206</v>
      </c>
      <c r="J393" s="6">
        <v>54.34</v>
      </c>
    </row>
    <row r="394" spans="1:10" hidden="1" x14ac:dyDescent="0.25">
      <c r="D394" s="8">
        <v>46079</v>
      </c>
      <c r="E394" s="9">
        <v>0.59722222222222221</v>
      </c>
      <c r="F394" t="s">
        <v>184</v>
      </c>
      <c r="G394" t="s">
        <v>167</v>
      </c>
      <c r="H394">
        <v>371147</v>
      </c>
      <c r="I394">
        <v>933327</v>
      </c>
      <c r="J394" s="6">
        <v>54.84</v>
      </c>
    </row>
    <row r="395" spans="1:10" hidden="1" x14ac:dyDescent="0.25">
      <c r="D395" s="8">
        <v>46079</v>
      </c>
      <c r="E395" s="9">
        <v>0.24305555555555555</v>
      </c>
      <c r="F395" t="s">
        <v>166</v>
      </c>
      <c r="G395" t="s">
        <v>87</v>
      </c>
      <c r="H395">
        <v>373932</v>
      </c>
      <c r="I395">
        <v>243377</v>
      </c>
      <c r="J395" s="6">
        <v>55</v>
      </c>
    </row>
    <row r="396" spans="1:10" hidden="1" x14ac:dyDescent="0.25">
      <c r="D396" s="8">
        <v>46079</v>
      </c>
      <c r="E396" s="9">
        <v>0.85902777777777772</v>
      </c>
      <c r="F396" t="s">
        <v>184</v>
      </c>
      <c r="G396" t="s">
        <v>167</v>
      </c>
      <c r="H396">
        <v>374319</v>
      </c>
      <c r="I396">
        <v>38079</v>
      </c>
      <c r="J396" s="6">
        <v>55.53</v>
      </c>
    </row>
    <row r="397" spans="1:10" hidden="1" x14ac:dyDescent="0.25">
      <c r="D397" s="8">
        <v>46079</v>
      </c>
      <c r="E397" s="9">
        <v>0.72986111111111107</v>
      </c>
      <c r="F397" t="s">
        <v>166</v>
      </c>
      <c r="G397" t="s">
        <v>167</v>
      </c>
      <c r="H397">
        <v>374220</v>
      </c>
      <c r="I397" t="s">
        <v>180</v>
      </c>
      <c r="J397" s="6">
        <v>55.58</v>
      </c>
    </row>
    <row r="398" spans="1:10" hidden="1" x14ac:dyDescent="0.25">
      <c r="D398" s="8">
        <v>46079</v>
      </c>
      <c r="E398" s="9">
        <v>0.6743055555555556</v>
      </c>
      <c r="F398" t="s">
        <v>184</v>
      </c>
      <c r="G398" t="s">
        <v>87</v>
      </c>
      <c r="H398">
        <v>754159</v>
      </c>
      <c r="I398" t="s">
        <v>212</v>
      </c>
      <c r="J398" s="6">
        <v>55.92</v>
      </c>
    </row>
    <row r="399" spans="1:10" hidden="1" x14ac:dyDescent="0.25">
      <c r="D399" s="8">
        <v>46079</v>
      </c>
      <c r="E399" s="9">
        <v>0.85069444444444442</v>
      </c>
      <c r="F399" t="s">
        <v>184</v>
      </c>
      <c r="G399" t="s">
        <v>87</v>
      </c>
      <c r="H399">
        <v>877747</v>
      </c>
      <c r="I399" t="s">
        <v>224</v>
      </c>
      <c r="J399" s="6">
        <v>56</v>
      </c>
    </row>
    <row r="400" spans="1:10" hidden="1" x14ac:dyDescent="0.25">
      <c r="D400" s="8">
        <v>46079</v>
      </c>
      <c r="E400" s="9">
        <v>1.3888888888888888E-2</v>
      </c>
      <c r="F400" t="s">
        <v>184</v>
      </c>
      <c r="G400" t="s">
        <v>236</v>
      </c>
      <c r="H400">
        <v>753987</v>
      </c>
      <c r="I400">
        <v>254825</v>
      </c>
      <c r="J400" s="6">
        <v>56.08</v>
      </c>
    </row>
    <row r="401" spans="4:10" hidden="1" x14ac:dyDescent="0.25">
      <c r="D401" s="8">
        <v>46079</v>
      </c>
      <c r="E401" s="9">
        <v>0.10208333333333333</v>
      </c>
      <c r="F401" t="s">
        <v>166</v>
      </c>
      <c r="G401" t="s">
        <v>167</v>
      </c>
      <c r="H401">
        <v>374115</v>
      </c>
      <c r="I401" t="s">
        <v>168</v>
      </c>
      <c r="J401" s="6">
        <v>56.63</v>
      </c>
    </row>
    <row r="402" spans="4:10" hidden="1" x14ac:dyDescent="0.25">
      <c r="D402" s="8">
        <v>46079</v>
      </c>
      <c r="E402" s="9">
        <v>0.68125000000000002</v>
      </c>
      <c r="F402" t="s">
        <v>199</v>
      </c>
      <c r="G402" t="s">
        <v>87</v>
      </c>
      <c r="H402">
        <v>610688</v>
      </c>
      <c r="I402">
        <v>385210</v>
      </c>
      <c r="J402" s="6">
        <v>56.92</v>
      </c>
    </row>
    <row r="403" spans="4:10" hidden="1" x14ac:dyDescent="0.25">
      <c r="D403" s="8">
        <v>46079</v>
      </c>
      <c r="E403" s="9">
        <v>0.2673611111111111</v>
      </c>
      <c r="F403" t="s">
        <v>184</v>
      </c>
      <c r="G403" t="s">
        <v>87</v>
      </c>
      <c r="H403">
        <v>877534</v>
      </c>
      <c r="I403" t="s">
        <v>187</v>
      </c>
      <c r="J403" s="6">
        <v>57.03</v>
      </c>
    </row>
    <row r="404" spans="4:10" hidden="1" x14ac:dyDescent="0.25">
      <c r="D404" s="8">
        <v>46079</v>
      </c>
      <c r="E404" s="9">
        <v>0.23819444444444443</v>
      </c>
      <c r="F404" t="s">
        <v>199</v>
      </c>
      <c r="G404" t="s">
        <v>87</v>
      </c>
      <c r="H404">
        <v>610473</v>
      </c>
      <c r="I404">
        <v>233162</v>
      </c>
      <c r="J404" s="6">
        <v>57.03</v>
      </c>
    </row>
    <row r="405" spans="4:10" hidden="1" x14ac:dyDescent="0.25">
      <c r="D405" s="8">
        <v>46079</v>
      </c>
      <c r="E405" s="9">
        <v>0.67291666666666672</v>
      </c>
      <c r="F405" t="s">
        <v>199</v>
      </c>
      <c r="G405" t="s">
        <v>249</v>
      </c>
      <c r="H405">
        <v>374181</v>
      </c>
      <c r="I405">
        <v>433334</v>
      </c>
      <c r="J405" s="6">
        <v>57.03</v>
      </c>
    </row>
    <row r="406" spans="4:10" hidden="1" x14ac:dyDescent="0.25">
      <c r="D406" s="8">
        <v>46079</v>
      </c>
      <c r="E406" s="9">
        <v>0.39513888888888887</v>
      </c>
      <c r="F406" t="s">
        <v>166</v>
      </c>
      <c r="G406" t="s">
        <v>236</v>
      </c>
      <c r="H406">
        <v>877623</v>
      </c>
      <c r="I406">
        <v>33048</v>
      </c>
      <c r="J406" s="6">
        <v>57.38</v>
      </c>
    </row>
    <row r="407" spans="4:10" hidden="1" x14ac:dyDescent="0.25">
      <c r="D407" s="8">
        <v>46079</v>
      </c>
      <c r="E407" s="9">
        <v>0.24166666666666667</v>
      </c>
      <c r="F407" t="s">
        <v>184</v>
      </c>
      <c r="G407" t="s">
        <v>167</v>
      </c>
      <c r="H407">
        <v>610480</v>
      </c>
      <c r="I407">
        <v>689861</v>
      </c>
      <c r="J407" s="6">
        <v>57.43</v>
      </c>
    </row>
    <row r="408" spans="4:10" hidden="1" x14ac:dyDescent="0.25">
      <c r="D408" s="8">
        <v>46079</v>
      </c>
      <c r="E408" s="9">
        <v>0.61111111111111116</v>
      </c>
      <c r="F408" t="s">
        <v>184</v>
      </c>
      <c r="G408" t="s">
        <v>87</v>
      </c>
      <c r="H408">
        <v>374147</v>
      </c>
      <c r="I408">
        <v>401955</v>
      </c>
      <c r="J408" s="6">
        <v>57.43</v>
      </c>
    </row>
    <row r="409" spans="4:10" hidden="1" x14ac:dyDescent="0.25">
      <c r="D409" s="8">
        <v>46079</v>
      </c>
      <c r="E409" s="9">
        <v>0.26250000000000001</v>
      </c>
      <c r="F409" t="s">
        <v>184</v>
      </c>
      <c r="G409" t="s">
        <v>236</v>
      </c>
      <c r="H409">
        <v>877530</v>
      </c>
      <c r="I409">
        <v>30324</v>
      </c>
      <c r="J409" s="6">
        <v>57.73</v>
      </c>
    </row>
    <row r="410" spans="4:10" hidden="1" x14ac:dyDescent="0.25">
      <c r="D410" s="8">
        <v>46079</v>
      </c>
      <c r="E410" s="9">
        <v>0.46527777777777779</v>
      </c>
      <c r="F410" t="s">
        <v>184</v>
      </c>
      <c r="G410" t="s">
        <v>236</v>
      </c>
      <c r="H410">
        <v>869481</v>
      </c>
      <c r="I410">
        <v>54196</v>
      </c>
      <c r="J410" s="6">
        <v>58.63</v>
      </c>
    </row>
    <row r="411" spans="4:10" hidden="1" x14ac:dyDescent="0.25">
      <c r="D411" s="8">
        <v>46079</v>
      </c>
      <c r="E411" s="9">
        <v>0.32569444444444445</v>
      </c>
      <c r="F411" t="s">
        <v>166</v>
      </c>
      <c r="G411" t="s">
        <v>167</v>
      </c>
      <c r="H411">
        <v>754057</v>
      </c>
      <c r="I411">
        <v>488238</v>
      </c>
      <c r="J411" s="6">
        <v>59.03</v>
      </c>
    </row>
    <row r="412" spans="4:10" hidden="1" x14ac:dyDescent="0.25">
      <c r="D412" s="8">
        <v>46079</v>
      </c>
      <c r="E412" s="9">
        <v>0.64652777777777781</v>
      </c>
      <c r="F412" t="s">
        <v>166</v>
      </c>
      <c r="G412" t="s">
        <v>87</v>
      </c>
      <c r="H412">
        <v>86832</v>
      </c>
      <c r="I412">
        <v>228877</v>
      </c>
      <c r="J412" s="6">
        <v>59.11</v>
      </c>
    </row>
    <row r="413" spans="4:10" hidden="1" x14ac:dyDescent="0.25">
      <c r="D413" s="8">
        <v>46079</v>
      </c>
      <c r="E413" s="9">
        <v>0.73263888888888884</v>
      </c>
      <c r="F413" t="s">
        <v>184</v>
      </c>
      <c r="G413" t="s">
        <v>236</v>
      </c>
      <c r="H413">
        <v>599951</v>
      </c>
      <c r="I413">
        <v>353963</v>
      </c>
      <c r="J413" s="6">
        <v>60</v>
      </c>
    </row>
    <row r="414" spans="4:10" hidden="1" x14ac:dyDescent="0.25">
      <c r="D414" s="8">
        <v>46079</v>
      </c>
      <c r="E414" s="9">
        <v>0.49722222222222223</v>
      </c>
      <c r="F414" t="s">
        <v>184</v>
      </c>
      <c r="G414" t="s">
        <v>236</v>
      </c>
      <c r="H414">
        <v>86768</v>
      </c>
      <c r="I414">
        <v>20905</v>
      </c>
      <c r="J414" s="6">
        <v>60</v>
      </c>
    </row>
    <row r="415" spans="4:10" hidden="1" x14ac:dyDescent="0.25">
      <c r="D415" s="8">
        <v>46079</v>
      </c>
      <c r="E415" s="9">
        <v>0.65416666666666667</v>
      </c>
      <c r="F415" t="s">
        <v>184</v>
      </c>
      <c r="G415" t="s">
        <v>236</v>
      </c>
      <c r="H415">
        <v>374184</v>
      </c>
      <c r="I415">
        <v>170657</v>
      </c>
      <c r="J415" s="6">
        <v>60</v>
      </c>
    </row>
    <row r="416" spans="4:10" hidden="1" x14ac:dyDescent="0.25">
      <c r="D416" s="8">
        <v>46079</v>
      </c>
      <c r="E416" s="9">
        <v>0.22013888888888888</v>
      </c>
      <c r="F416" t="s">
        <v>184</v>
      </c>
      <c r="G416" t="s">
        <v>167</v>
      </c>
      <c r="H416">
        <v>374155</v>
      </c>
      <c r="I416">
        <v>130109</v>
      </c>
      <c r="J416" s="6">
        <v>60.14</v>
      </c>
    </row>
    <row r="417" spans="1:10" hidden="1" x14ac:dyDescent="0.25">
      <c r="D417" s="8">
        <v>46079</v>
      </c>
      <c r="E417" s="9">
        <v>0.64722222222222225</v>
      </c>
      <c r="F417" t="s">
        <v>166</v>
      </c>
      <c r="G417" t="s">
        <v>87</v>
      </c>
      <c r="H417">
        <v>374181</v>
      </c>
      <c r="I417">
        <v>384058</v>
      </c>
      <c r="J417" s="6">
        <v>60.5</v>
      </c>
    </row>
    <row r="418" spans="1:10" hidden="1" x14ac:dyDescent="0.25">
      <c r="D418" s="8">
        <v>46079</v>
      </c>
      <c r="E418" s="9">
        <v>0.56597222222222221</v>
      </c>
      <c r="F418" t="s">
        <v>184</v>
      </c>
      <c r="G418" t="s">
        <v>87</v>
      </c>
      <c r="H418">
        <v>371136</v>
      </c>
      <c r="I418" t="s">
        <v>202</v>
      </c>
      <c r="J418" s="6">
        <v>61.37</v>
      </c>
    </row>
    <row r="419" spans="1:10" hidden="1" x14ac:dyDescent="0.25">
      <c r="D419" s="8">
        <v>46079</v>
      </c>
      <c r="E419" s="9">
        <v>0.7055555555555556</v>
      </c>
      <c r="F419" t="s">
        <v>184</v>
      </c>
      <c r="G419" t="s">
        <v>236</v>
      </c>
      <c r="H419">
        <v>610702</v>
      </c>
      <c r="I419">
        <v>207617</v>
      </c>
      <c r="J419" s="6">
        <v>61.87</v>
      </c>
    </row>
    <row r="420" spans="1:10" hidden="1" x14ac:dyDescent="0.25">
      <c r="D420" s="8">
        <v>46079</v>
      </c>
      <c r="E420" s="9">
        <v>0.65208333333333335</v>
      </c>
      <c r="F420" t="s">
        <v>184</v>
      </c>
      <c r="G420" t="s">
        <v>87</v>
      </c>
      <c r="H420">
        <v>610668</v>
      </c>
      <c r="I420" t="s">
        <v>208</v>
      </c>
      <c r="J420" s="6">
        <v>62.47</v>
      </c>
    </row>
    <row r="421" spans="1:10" hidden="1" x14ac:dyDescent="0.25">
      <c r="D421" s="8">
        <v>46079</v>
      </c>
      <c r="E421" s="9">
        <v>0.55625000000000002</v>
      </c>
      <c r="F421" t="s">
        <v>184</v>
      </c>
      <c r="G421" t="s">
        <v>167</v>
      </c>
      <c r="H421">
        <v>86807</v>
      </c>
      <c r="I421">
        <v>727388</v>
      </c>
      <c r="J421" s="6">
        <v>63.07</v>
      </c>
    </row>
    <row r="422" spans="1:10" hidden="1" x14ac:dyDescent="0.25">
      <c r="D422" s="8">
        <v>46079</v>
      </c>
      <c r="E422" s="9">
        <v>0.32708333333333334</v>
      </c>
      <c r="F422" t="s">
        <v>184</v>
      </c>
      <c r="G422" t="s">
        <v>167</v>
      </c>
      <c r="H422">
        <v>599803</v>
      </c>
      <c r="I422">
        <v>703753</v>
      </c>
      <c r="J422" s="6">
        <v>63.52</v>
      </c>
    </row>
    <row r="423" spans="1:10" x14ac:dyDescent="0.25">
      <c r="A423" t="s">
        <v>135</v>
      </c>
      <c r="B423" t="s">
        <v>136</v>
      </c>
      <c r="C423" t="s">
        <v>120</v>
      </c>
      <c r="D423" s="8">
        <v>46079</v>
      </c>
      <c r="E423" s="9">
        <v>0.80069444444444449</v>
      </c>
      <c r="F423" t="s">
        <v>92</v>
      </c>
      <c r="G423" t="s">
        <v>92</v>
      </c>
      <c r="H423">
        <v>2170686</v>
      </c>
      <c r="J423" s="6">
        <v>63.57</v>
      </c>
    </row>
    <row r="424" spans="1:10" hidden="1" x14ac:dyDescent="0.25">
      <c r="D424" s="8">
        <v>46079</v>
      </c>
      <c r="E424" s="9">
        <v>0.77083333333333337</v>
      </c>
      <c r="F424" t="s">
        <v>184</v>
      </c>
      <c r="G424" t="s">
        <v>236</v>
      </c>
      <c r="H424">
        <v>877717</v>
      </c>
      <c r="I424">
        <v>57033</v>
      </c>
      <c r="J424" s="6">
        <v>63.57</v>
      </c>
    </row>
    <row r="425" spans="1:10" hidden="1" x14ac:dyDescent="0.25">
      <c r="D425" s="8">
        <v>46079</v>
      </c>
      <c r="E425" s="9">
        <v>0.83263888888888893</v>
      </c>
      <c r="F425" t="s">
        <v>199</v>
      </c>
      <c r="G425" t="s">
        <v>87</v>
      </c>
      <c r="H425">
        <v>877736</v>
      </c>
      <c r="I425">
        <v>989980</v>
      </c>
      <c r="J425" s="6">
        <v>63.76</v>
      </c>
    </row>
    <row r="426" spans="1:10" hidden="1" x14ac:dyDescent="0.25">
      <c r="D426" s="8">
        <v>46079</v>
      </c>
      <c r="E426" s="9">
        <v>0.5854166666666667</v>
      </c>
      <c r="F426" t="s">
        <v>166</v>
      </c>
      <c r="G426" t="s">
        <v>87</v>
      </c>
      <c r="H426">
        <v>371139</v>
      </c>
      <c r="I426">
        <v>815557</v>
      </c>
      <c r="J426" s="6">
        <v>63.87</v>
      </c>
    </row>
    <row r="427" spans="1:10" hidden="1" x14ac:dyDescent="0.25">
      <c r="D427" s="8">
        <v>46079</v>
      </c>
      <c r="E427" s="9">
        <v>0.90416666666666667</v>
      </c>
      <c r="F427" t="s">
        <v>199</v>
      </c>
      <c r="G427" t="s">
        <v>236</v>
      </c>
      <c r="H427">
        <v>877786</v>
      </c>
      <c r="I427">
        <v>624477</v>
      </c>
      <c r="J427" s="6">
        <v>64.069999999999993</v>
      </c>
    </row>
    <row r="428" spans="1:10" hidden="1" x14ac:dyDescent="0.25">
      <c r="D428" s="8">
        <v>46079</v>
      </c>
      <c r="E428" s="9">
        <v>0.31319444444444444</v>
      </c>
      <c r="F428" t="s">
        <v>184</v>
      </c>
      <c r="G428" t="s">
        <v>236</v>
      </c>
      <c r="H428">
        <v>877563</v>
      </c>
      <c r="I428">
        <v>265888</v>
      </c>
      <c r="J428" s="6">
        <v>64.47</v>
      </c>
    </row>
    <row r="429" spans="1:10" hidden="1" x14ac:dyDescent="0.25">
      <c r="D429" s="8">
        <v>46079</v>
      </c>
      <c r="E429" s="9">
        <v>0.4465277777777778</v>
      </c>
      <c r="F429" t="s">
        <v>184</v>
      </c>
      <c r="G429" t="s">
        <v>167</v>
      </c>
      <c r="H429">
        <v>86736</v>
      </c>
      <c r="I429">
        <v>491714</v>
      </c>
      <c r="J429" s="6">
        <v>64.5</v>
      </c>
    </row>
    <row r="430" spans="1:10" hidden="1" x14ac:dyDescent="0.25">
      <c r="D430" s="8">
        <v>46079</v>
      </c>
      <c r="E430" s="9">
        <v>0.83958333333333335</v>
      </c>
      <c r="F430" t="s">
        <v>184</v>
      </c>
      <c r="G430" t="s">
        <v>87</v>
      </c>
      <c r="H430">
        <v>610767</v>
      </c>
      <c r="I430" t="s">
        <v>226</v>
      </c>
      <c r="J430" s="6">
        <v>64.5</v>
      </c>
    </row>
    <row r="431" spans="1:10" hidden="1" x14ac:dyDescent="0.25">
      <c r="D431" s="8">
        <v>46079</v>
      </c>
      <c r="E431" s="9">
        <v>0.28194444444444444</v>
      </c>
      <c r="F431" t="s">
        <v>184</v>
      </c>
      <c r="G431" t="s">
        <v>236</v>
      </c>
      <c r="H431">
        <v>599783</v>
      </c>
      <c r="I431">
        <v>9889</v>
      </c>
      <c r="J431" s="6">
        <v>64.5</v>
      </c>
    </row>
    <row r="432" spans="1:10" hidden="1" x14ac:dyDescent="0.25">
      <c r="D432" s="8">
        <v>46079</v>
      </c>
      <c r="E432" s="9">
        <v>0.26319444444444445</v>
      </c>
      <c r="F432" t="s">
        <v>184</v>
      </c>
      <c r="G432" t="s">
        <v>236</v>
      </c>
      <c r="H432">
        <v>754024</v>
      </c>
      <c r="I432">
        <v>95165</v>
      </c>
      <c r="J432" s="6">
        <v>64.5</v>
      </c>
    </row>
    <row r="433" spans="1:10" hidden="1" x14ac:dyDescent="0.25">
      <c r="D433" s="8">
        <v>46079</v>
      </c>
      <c r="E433" s="9">
        <v>0.91041666666666665</v>
      </c>
      <c r="F433" t="s">
        <v>166</v>
      </c>
      <c r="G433" t="s">
        <v>236</v>
      </c>
      <c r="H433">
        <v>374357</v>
      </c>
      <c r="I433">
        <v>20271</v>
      </c>
      <c r="J433" s="6">
        <v>64.62</v>
      </c>
    </row>
    <row r="434" spans="1:10" hidden="1" x14ac:dyDescent="0.25">
      <c r="D434" s="8">
        <v>46079</v>
      </c>
      <c r="E434" s="9">
        <v>0.42638888888888887</v>
      </c>
      <c r="F434" t="s">
        <v>184</v>
      </c>
      <c r="G434" t="s">
        <v>87</v>
      </c>
      <c r="H434">
        <v>877647</v>
      </c>
      <c r="I434">
        <v>913126</v>
      </c>
      <c r="J434" s="6">
        <v>64.959999999999994</v>
      </c>
    </row>
    <row r="435" spans="1:10" hidden="1" x14ac:dyDescent="0.25">
      <c r="D435" s="8">
        <v>46079</v>
      </c>
      <c r="E435" s="9">
        <v>5.6250000000000001E-2</v>
      </c>
      <c r="F435" t="s">
        <v>184</v>
      </c>
      <c r="G435" t="s">
        <v>236</v>
      </c>
      <c r="H435">
        <v>754009</v>
      </c>
      <c r="I435">
        <v>401113</v>
      </c>
      <c r="J435" s="6">
        <v>65.61</v>
      </c>
    </row>
    <row r="436" spans="1:10" hidden="1" x14ac:dyDescent="0.25">
      <c r="D436" s="8">
        <v>46079</v>
      </c>
      <c r="E436" s="9">
        <v>0.34930555555555554</v>
      </c>
      <c r="F436" t="s">
        <v>184</v>
      </c>
      <c r="G436" t="s">
        <v>236</v>
      </c>
      <c r="H436">
        <v>599813</v>
      </c>
      <c r="I436">
        <v>54560</v>
      </c>
      <c r="J436" s="6">
        <v>66.11</v>
      </c>
    </row>
    <row r="437" spans="1:10" hidden="1" x14ac:dyDescent="0.25">
      <c r="D437" s="8">
        <v>46079</v>
      </c>
      <c r="E437" s="9">
        <v>0.80069444444444449</v>
      </c>
      <c r="F437" t="s">
        <v>184</v>
      </c>
      <c r="G437" t="s">
        <v>236</v>
      </c>
      <c r="H437">
        <v>374273</v>
      </c>
      <c r="I437">
        <v>305501</v>
      </c>
      <c r="J437" s="6">
        <v>66.16</v>
      </c>
    </row>
    <row r="438" spans="1:10" hidden="1" x14ac:dyDescent="0.25">
      <c r="D438" s="8">
        <v>46079</v>
      </c>
      <c r="E438" s="9">
        <v>0.59027777777777779</v>
      </c>
      <c r="F438" t="s">
        <v>184</v>
      </c>
      <c r="G438" t="s">
        <v>236</v>
      </c>
      <c r="H438">
        <v>374128</v>
      </c>
      <c r="I438">
        <v>871187</v>
      </c>
      <c r="J438" s="6">
        <v>67.62</v>
      </c>
    </row>
    <row r="439" spans="1:10" hidden="1" x14ac:dyDescent="0.25">
      <c r="D439" s="8">
        <v>46079</v>
      </c>
      <c r="E439" s="9">
        <v>0.88958333333333328</v>
      </c>
      <c r="F439" t="s">
        <v>184</v>
      </c>
      <c r="G439" t="s">
        <v>87</v>
      </c>
      <c r="H439">
        <v>877777</v>
      </c>
      <c r="I439" t="s">
        <v>229</v>
      </c>
      <c r="J439" s="6">
        <v>69.36</v>
      </c>
    </row>
    <row r="440" spans="1:10" hidden="1" x14ac:dyDescent="0.25">
      <c r="D440" s="8">
        <v>46079</v>
      </c>
      <c r="E440" s="9">
        <v>0.60069444444444442</v>
      </c>
      <c r="F440" t="s">
        <v>166</v>
      </c>
      <c r="G440" t="s">
        <v>167</v>
      </c>
      <c r="H440">
        <v>754132</v>
      </c>
      <c r="I440">
        <v>237704</v>
      </c>
      <c r="J440" s="6">
        <v>70</v>
      </c>
    </row>
    <row r="441" spans="1:10" hidden="1" x14ac:dyDescent="0.25">
      <c r="D441" s="8">
        <v>46079</v>
      </c>
      <c r="E441" s="9">
        <v>0.80763888888888891</v>
      </c>
      <c r="F441" t="s">
        <v>166</v>
      </c>
      <c r="G441" t="s">
        <v>87</v>
      </c>
      <c r="H441">
        <v>86909</v>
      </c>
      <c r="I441">
        <v>580689</v>
      </c>
      <c r="J441" s="6">
        <v>70</v>
      </c>
    </row>
    <row r="442" spans="1:10" hidden="1" x14ac:dyDescent="0.25">
      <c r="D442" s="8">
        <v>46079</v>
      </c>
      <c r="E442" s="9">
        <v>0.50624999999999998</v>
      </c>
      <c r="F442" t="s">
        <v>184</v>
      </c>
      <c r="G442" t="s">
        <v>236</v>
      </c>
      <c r="H442">
        <v>877696</v>
      </c>
      <c r="I442">
        <v>509782</v>
      </c>
      <c r="J442" s="6">
        <v>70</v>
      </c>
    </row>
    <row r="443" spans="1:10" hidden="1" x14ac:dyDescent="0.25">
      <c r="D443" s="8">
        <v>46079</v>
      </c>
      <c r="E443" s="9">
        <v>1.1805555555555555E-2</v>
      </c>
      <c r="F443" t="s">
        <v>184</v>
      </c>
      <c r="G443" t="s">
        <v>236</v>
      </c>
      <c r="H443">
        <v>374080</v>
      </c>
      <c r="I443">
        <v>636906</v>
      </c>
      <c r="J443" s="6">
        <v>71.2</v>
      </c>
    </row>
    <row r="444" spans="1:10" hidden="1" x14ac:dyDescent="0.25">
      <c r="D444" s="8">
        <v>46079</v>
      </c>
      <c r="E444" s="9">
        <v>0.78749999999999998</v>
      </c>
      <c r="F444" t="s">
        <v>166</v>
      </c>
      <c r="G444" t="s">
        <v>236</v>
      </c>
      <c r="H444">
        <v>610724</v>
      </c>
      <c r="I444" t="s">
        <v>238</v>
      </c>
      <c r="J444" s="6">
        <v>71.98</v>
      </c>
    </row>
    <row r="445" spans="1:10" x14ac:dyDescent="0.25">
      <c r="A445" t="s">
        <v>102</v>
      </c>
      <c r="B445" t="s">
        <v>103</v>
      </c>
      <c r="C445" t="s">
        <v>104</v>
      </c>
      <c r="D445" s="8">
        <v>46079</v>
      </c>
      <c r="E445" s="9">
        <v>0.34027777777777779</v>
      </c>
      <c r="F445" t="s">
        <v>92</v>
      </c>
      <c r="G445" t="s">
        <v>92</v>
      </c>
      <c r="H445">
        <v>349522</v>
      </c>
      <c r="J445" s="6">
        <v>72.05</v>
      </c>
    </row>
    <row r="446" spans="1:10" hidden="1" x14ac:dyDescent="0.25">
      <c r="D446" s="8">
        <v>46079</v>
      </c>
      <c r="E446" s="9">
        <v>0.68194444444444446</v>
      </c>
      <c r="F446" t="s">
        <v>199</v>
      </c>
      <c r="G446" t="s">
        <v>236</v>
      </c>
      <c r="H446">
        <v>374190</v>
      </c>
      <c r="I446">
        <v>622683</v>
      </c>
      <c r="J446" s="6">
        <v>72.25</v>
      </c>
    </row>
    <row r="447" spans="1:10" hidden="1" x14ac:dyDescent="0.25">
      <c r="D447" s="8">
        <v>46079</v>
      </c>
      <c r="E447" s="9">
        <v>0.77638888888888891</v>
      </c>
      <c r="F447" t="s">
        <v>199</v>
      </c>
      <c r="G447" t="s">
        <v>249</v>
      </c>
      <c r="H447">
        <v>877720</v>
      </c>
      <c r="I447">
        <v>209031</v>
      </c>
      <c r="J447" s="6">
        <v>75.540000000000006</v>
      </c>
    </row>
    <row r="448" spans="1:10" hidden="1" x14ac:dyDescent="0.25">
      <c r="D448" s="8">
        <v>46079</v>
      </c>
      <c r="E448" s="9">
        <v>0.77708333333333335</v>
      </c>
      <c r="F448" t="s">
        <v>184</v>
      </c>
      <c r="G448" t="s">
        <v>236</v>
      </c>
      <c r="H448">
        <v>374250</v>
      </c>
      <c r="I448">
        <v>951468</v>
      </c>
      <c r="J448" s="6">
        <v>77.900000000000006</v>
      </c>
    </row>
    <row r="449" spans="1:10" hidden="1" x14ac:dyDescent="0.25">
      <c r="D449" s="8">
        <v>46079</v>
      </c>
      <c r="E449" s="9">
        <v>0.32222222222222224</v>
      </c>
      <c r="F449" t="s">
        <v>166</v>
      </c>
      <c r="G449" t="s">
        <v>87</v>
      </c>
      <c r="H449">
        <v>371079</v>
      </c>
      <c r="I449">
        <v>876066</v>
      </c>
      <c r="J449" s="6">
        <v>79</v>
      </c>
    </row>
    <row r="450" spans="1:10" hidden="1" x14ac:dyDescent="0.25">
      <c r="D450" s="8">
        <v>46079</v>
      </c>
      <c r="E450" s="9">
        <v>0.41597222222222224</v>
      </c>
      <c r="F450" t="s">
        <v>184</v>
      </c>
      <c r="G450" t="s">
        <v>167</v>
      </c>
      <c r="H450">
        <v>754091</v>
      </c>
      <c r="I450">
        <v>280438</v>
      </c>
      <c r="J450" s="6">
        <v>79.040000000000006</v>
      </c>
    </row>
    <row r="451" spans="1:10" hidden="1" x14ac:dyDescent="0.25">
      <c r="D451" s="8">
        <v>46079</v>
      </c>
      <c r="E451" s="9">
        <v>0.34305555555555556</v>
      </c>
      <c r="F451" t="s">
        <v>184</v>
      </c>
      <c r="G451" t="s">
        <v>167</v>
      </c>
      <c r="H451">
        <v>610536</v>
      </c>
      <c r="I451">
        <v>171644</v>
      </c>
      <c r="J451" s="6">
        <v>80</v>
      </c>
    </row>
    <row r="452" spans="1:10" hidden="1" x14ac:dyDescent="0.25">
      <c r="D452" s="8">
        <v>46079</v>
      </c>
      <c r="E452" s="9">
        <v>0.43472222222222223</v>
      </c>
      <c r="F452" t="s">
        <v>166</v>
      </c>
      <c r="G452" t="s">
        <v>236</v>
      </c>
      <c r="H452">
        <v>877653</v>
      </c>
      <c r="I452">
        <v>623326</v>
      </c>
      <c r="J452" s="6">
        <v>80</v>
      </c>
    </row>
    <row r="453" spans="1:10" hidden="1" x14ac:dyDescent="0.25">
      <c r="D453" s="8">
        <v>46079</v>
      </c>
      <c r="E453" s="9">
        <v>0.31180555555555556</v>
      </c>
      <c r="F453" t="s">
        <v>184</v>
      </c>
      <c r="G453" t="s">
        <v>236</v>
      </c>
      <c r="H453">
        <v>754049</v>
      </c>
      <c r="I453">
        <v>53837</v>
      </c>
      <c r="J453" s="6">
        <v>81.48</v>
      </c>
    </row>
    <row r="454" spans="1:10" hidden="1" x14ac:dyDescent="0.25">
      <c r="D454" s="8">
        <v>46079</v>
      </c>
      <c r="E454" s="9">
        <v>0.67777777777777781</v>
      </c>
      <c r="F454" t="s">
        <v>166</v>
      </c>
      <c r="G454" t="s">
        <v>87</v>
      </c>
      <c r="H454">
        <v>371176</v>
      </c>
      <c r="I454">
        <v>550011</v>
      </c>
      <c r="J454" s="6">
        <v>84.58</v>
      </c>
    </row>
    <row r="455" spans="1:10" hidden="1" x14ac:dyDescent="0.25">
      <c r="D455" s="8">
        <v>46079</v>
      </c>
      <c r="E455" s="9">
        <v>0.59583333333333333</v>
      </c>
      <c r="F455" t="s">
        <v>184</v>
      </c>
      <c r="G455" t="s">
        <v>236</v>
      </c>
      <c r="H455">
        <v>599903</v>
      </c>
      <c r="I455">
        <v>855425</v>
      </c>
      <c r="J455" s="6">
        <v>85.01</v>
      </c>
    </row>
    <row r="456" spans="1:10" hidden="1" x14ac:dyDescent="0.25">
      <c r="D456" s="8">
        <v>46079</v>
      </c>
      <c r="E456" s="9">
        <v>0.87361111111111112</v>
      </c>
      <c r="F456" t="s">
        <v>184</v>
      </c>
      <c r="G456" t="s">
        <v>87</v>
      </c>
      <c r="H456">
        <v>610789</v>
      </c>
      <c r="I456" t="s">
        <v>231</v>
      </c>
      <c r="J456" s="6">
        <v>87.01</v>
      </c>
    </row>
    <row r="457" spans="1:10" hidden="1" x14ac:dyDescent="0.25">
      <c r="D457" s="8">
        <v>46079</v>
      </c>
      <c r="E457" s="9">
        <v>0.80833333333333335</v>
      </c>
      <c r="F457" t="s">
        <v>184</v>
      </c>
      <c r="G457" t="s">
        <v>236</v>
      </c>
      <c r="H457">
        <v>610739</v>
      </c>
      <c r="I457">
        <v>535815</v>
      </c>
      <c r="J457" s="6">
        <v>89.33</v>
      </c>
    </row>
    <row r="458" spans="1:10" hidden="1" x14ac:dyDescent="0.25">
      <c r="D458" s="8">
        <v>46079</v>
      </c>
      <c r="E458" s="9">
        <v>0.66666666666666663</v>
      </c>
      <c r="F458" t="s">
        <v>166</v>
      </c>
      <c r="G458" t="s">
        <v>236</v>
      </c>
      <c r="H458">
        <v>374195</v>
      </c>
      <c r="I458" t="s">
        <v>245</v>
      </c>
      <c r="J458" s="6">
        <v>96.75</v>
      </c>
    </row>
    <row r="459" spans="1:10" x14ac:dyDescent="0.25">
      <c r="A459" t="s">
        <v>114</v>
      </c>
      <c r="B459" t="s">
        <v>115</v>
      </c>
      <c r="C459" t="s">
        <v>113</v>
      </c>
      <c r="D459" s="8">
        <v>46079</v>
      </c>
      <c r="E459" s="9">
        <v>0.78125</v>
      </c>
      <c r="F459" t="s">
        <v>92</v>
      </c>
      <c r="G459" t="s">
        <v>92</v>
      </c>
      <c r="H459">
        <v>2059227</v>
      </c>
      <c r="J459" s="6">
        <v>100</v>
      </c>
    </row>
    <row r="460" spans="1:10" x14ac:dyDescent="0.25">
      <c r="A460" t="s">
        <v>147</v>
      </c>
      <c r="B460" t="s">
        <v>148</v>
      </c>
      <c r="C460" t="s">
        <v>98</v>
      </c>
      <c r="D460" s="8">
        <v>46079</v>
      </c>
      <c r="E460" s="9">
        <v>0.84444444444444444</v>
      </c>
      <c r="F460" t="s">
        <v>92</v>
      </c>
      <c r="G460" t="s">
        <v>92</v>
      </c>
      <c r="H460">
        <v>2316484</v>
      </c>
      <c r="J460" s="6">
        <v>100</v>
      </c>
    </row>
    <row r="461" spans="1:10" hidden="1" x14ac:dyDescent="0.25">
      <c r="D461" s="8">
        <v>46079</v>
      </c>
      <c r="E461" s="9">
        <v>0.36736111111111114</v>
      </c>
      <c r="F461" t="s">
        <v>166</v>
      </c>
      <c r="G461" t="s">
        <v>167</v>
      </c>
      <c r="H461">
        <v>610551</v>
      </c>
      <c r="I461">
        <v>266319</v>
      </c>
      <c r="J461" s="6">
        <v>100</v>
      </c>
    </row>
    <row r="462" spans="1:10" hidden="1" x14ac:dyDescent="0.25">
      <c r="D462" s="8">
        <v>46079</v>
      </c>
      <c r="E462" s="9">
        <v>0.79791666666666672</v>
      </c>
      <c r="F462" t="s">
        <v>166</v>
      </c>
      <c r="G462" t="s">
        <v>87</v>
      </c>
      <c r="H462">
        <v>610736</v>
      </c>
      <c r="I462">
        <v>95056</v>
      </c>
      <c r="J462" s="6">
        <v>100</v>
      </c>
    </row>
    <row r="463" spans="1:10" hidden="1" x14ac:dyDescent="0.25">
      <c r="D463" s="8">
        <v>46079</v>
      </c>
      <c r="E463" s="9">
        <v>0.75347222222222221</v>
      </c>
      <c r="F463" t="s">
        <v>166</v>
      </c>
      <c r="G463" t="s">
        <v>87</v>
      </c>
      <c r="H463">
        <v>599958</v>
      </c>
      <c r="I463">
        <v>265117</v>
      </c>
      <c r="J463" s="6">
        <v>100</v>
      </c>
    </row>
    <row r="464" spans="1:10" hidden="1" x14ac:dyDescent="0.25">
      <c r="D464" s="8">
        <v>46079</v>
      </c>
      <c r="E464" s="9">
        <v>0.37777777777777777</v>
      </c>
      <c r="F464" t="s">
        <v>184</v>
      </c>
      <c r="G464" t="s">
        <v>87</v>
      </c>
      <c r="H464">
        <v>371105</v>
      </c>
      <c r="I464" t="s">
        <v>193</v>
      </c>
      <c r="J464" s="6">
        <v>100</v>
      </c>
    </row>
    <row r="465" spans="4:10" hidden="1" x14ac:dyDescent="0.25">
      <c r="D465" s="8">
        <v>46079</v>
      </c>
      <c r="E465" s="9">
        <v>0.47847222222222224</v>
      </c>
      <c r="F465" t="s">
        <v>184</v>
      </c>
      <c r="G465" t="s">
        <v>87</v>
      </c>
      <c r="H465">
        <v>610599</v>
      </c>
      <c r="I465">
        <v>293262</v>
      </c>
      <c r="J465" s="6">
        <v>100</v>
      </c>
    </row>
    <row r="466" spans="4:10" hidden="1" x14ac:dyDescent="0.25">
      <c r="D466" s="8">
        <v>46079</v>
      </c>
      <c r="E466" s="9">
        <v>0.25555555555555554</v>
      </c>
      <c r="F466" t="s">
        <v>184</v>
      </c>
      <c r="G466" t="s">
        <v>167</v>
      </c>
      <c r="H466">
        <v>371037</v>
      </c>
      <c r="I466">
        <v>259802</v>
      </c>
      <c r="J466" s="6">
        <v>100</v>
      </c>
    </row>
    <row r="467" spans="4:10" hidden="1" x14ac:dyDescent="0.25">
      <c r="D467" s="8">
        <v>46079</v>
      </c>
      <c r="E467" s="9">
        <v>0.55555555555555558</v>
      </c>
      <c r="F467" t="s">
        <v>184</v>
      </c>
      <c r="G467" t="s">
        <v>167</v>
      </c>
      <c r="H467">
        <v>754101</v>
      </c>
      <c r="I467">
        <v>650085</v>
      </c>
      <c r="J467" s="6">
        <v>100</v>
      </c>
    </row>
    <row r="468" spans="4:10" hidden="1" x14ac:dyDescent="0.25">
      <c r="D468" s="8">
        <v>46079</v>
      </c>
      <c r="E468" s="9">
        <v>0.69305555555555554</v>
      </c>
      <c r="F468" t="s">
        <v>184</v>
      </c>
      <c r="G468" t="s">
        <v>87</v>
      </c>
      <c r="H468">
        <v>86850</v>
      </c>
      <c r="I468" t="s">
        <v>213</v>
      </c>
      <c r="J468" s="6">
        <v>100</v>
      </c>
    </row>
    <row r="469" spans="4:10" hidden="1" x14ac:dyDescent="0.25">
      <c r="D469" s="8">
        <v>46079</v>
      </c>
      <c r="E469" s="9">
        <v>0.73819444444444449</v>
      </c>
      <c r="F469" t="s">
        <v>184</v>
      </c>
      <c r="G469" t="s">
        <v>167</v>
      </c>
      <c r="H469">
        <v>374226</v>
      </c>
      <c r="I469">
        <v>191062</v>
      </c>
      <c r="J469" s="6">
        <v>100</v>
      </c>
    </row>
    <row r="470" spans="4:10" hidden="1" x14ac:dyDescent="0.25">
      <c r="D470" s="8">
        <v>46079</v>
      </c>
      <c r="E470" s="9">
        <v>0.70138888888888884</v>
      </c>
      <c r="F470" t="s">
        <v>166</v>
      </c>
      <c r="G470" t="s">
        <v>236</v>
      </c>
      <c r="H470">
        <v>599929</v>
      </c>
      <c r="I470">
        <v>691132</v>
      </c>
      <c r="J470" s="6">
        <v>100</v>
      </c>
    </row>
    <row r="471" spans="4:10" hidden="1" x14ac:dyDescent="0.25">
      <c r="D471" s="8">
        <v>46079</v>
      </c>
      <c r="E471" s="9">
        <v>0.72916666666666663</v>
      </c>
      <c r="F471" t="s">
        <v>166</v>
      </c>
      <c r="G471" t="s">
        <v>236</v>
      </c>
      <c r="H471">
        <v>599947</v>
      </c>
      <c r="I471">
        <v>21415</v>
      </c>
      <c r="J471" s="6">
        <v>100</v>
      </c>
    </row>
    <row r="472" spans="4:10" hidden="1" x14ac:dyDescent="0.25">
      <c r="D472" s="8">
        <v>46079</v>
      </c>
      <c r="E472" s="9">
        <v>0.83750000000000002</v>
      </c>
      <c r="F472" t="s">
        <v>166</v>
      </c>
      <c r="G472" t="s">
        <v>236</v>
      </c>
      <c r="H472">
        <v>610763</v>
      </c>
      <c r="I472">
        <v>967618</v>
      </c>
      <c r="J472" s="6">
        <v>100</v>
      </c>
    </row>
    <row r="473" spans="4:10" hidden="1" x14ac:dyDescent="0.25">
      <c r="D473" s="8">
        <v>46079</v>
      </c>
      <c r="E473" s="9">
        <v>0.46597222222222223</v>
      </c>
      <c r="F473" t="s">
        <v>166</v>
      </c>
      <c r="G473" t="s">
        <v>236</v>
      </c>
      <c r="H473">
        <v>86749</v>
      </c>
      <c r="I473">
        <v>196096</v>
      </c>
      <c r="J473" s="6">
        <v>100</v>
      </c>
    </row>
    <row r="474" spans="4:10" hidden="1" x14ac:dyDescent="0.25">
      <c r="D474" s="8">
        <v>46079</v>
      </c>
      <c r="E474" s="9">
        <v>0.29930555555555555</v>
      </c>
      <c r="F474" t="s">
        <v>166</v>
      </c>
      <c r="G474" t="s">
        <v>236</v>
      </c>
      <c r="H474">
        <v>371059</v>
      </c>
      <c r="I474">
        <v>319244</v>
      </c>
      <c r="J474" s="6">
        <v>100</v>
      </c>
    </row>
    <row r="475" spans="4:10" hidden="1" x14ac:dyDescent="0.25">
      <c r="D475" s="8">
        <v>46079</v>
      </c>
      <c r="E475" s="9">
        <v>0.22152777777777777</v>
      </c>
      <c r="F475" t="s">
        <v>166</v>
      </c>
      <c r="G475" t="s">
        <v>236</v>
      </c>
      <c r="H475">
        <v>610457</v>
      </c>
      <c r="I475">
        <v>798618</v>
      </c>
      <c r="J475" s="6">
        <v>100</v>
      </c>
    </row>
    <row r="476" spans="4:10" hidden="1" x14ac:dyDescent="0.25">
      <c r="D476" s="8">
        <v>46079</v>
      </c>
      <c r="E476" s="9">
        <v>0.76597222222222228</v>
      </c>
      <c r="F476" t="s">
        <v>184</v>
      </c>
      <c r="G476" t="s">
        <v>236</v>
      </c>
      <c r="H476">
        <v>610713</v>
      </c>
      <c r="I476">
        <v>45263</v>
      </c>
      <c r="J476" s="6">
        <v>100</v>
      </c>
    </row>
    <row r="477" spans="4:10" hidden="1" x14ac:dyDescent="0.25">
      <c r="D477" s="8">
        <v>46079</v>
      </c>
      <c r="E477" s="9">
        <v>0.70833333333333337</v>
      </c>
      <c r="F477" t="s">
        <v>184</v>
      </c>
      <c r="G477" t="s">
        <v>236</v>
      </c>
      <c r="H477">
        <v>599936</v>
      </c>
      <c r="I477">
        <v>710079</v>
      </c>
      <c r="J477" s="6">
        <v>100</v>
      </c>
    </row>
    <row r="478" spans="4:10" hidden="1" x14ac:dyDescent="0.25">
      <c r="D478" s="8">
        <v>46079</v>
      </c>
      <c r="E478" s="9">
        <v>0.84305555555555556</v>
      </c>
      <c r="F478" t="s">
        <v>184</v>
      </c>
      <c r="G478" t="s">
        <v>236</v>
      </c>
      <c r="H478">
        <v>86940</v>
      </c>
      <c r="I478">
        <v>768703</v>
      </c>
      <c r="J478" s="6">
        <v>100</v>
      </c>
    </row>
    <row r="479" spans="4:10" hidden="1" x14ac:dyDescent="0.25">
      <c r="D479" s="8">
        <v>46079</v>
      </c>
      <c r="E479" s="9">
        <v>0.31597222222222221</v>
      </c>
      <c r="F479" t="s">
        <v>184</v>
      </c>
      <c r="G479" t="s">
        <v>236</v>
      </c>
      <c r="H479">
        <v>877568</v>
      </c>
      <c r="I479" t="s">
        <v>253</v>
      </c>
      <c r="J479" s="6">
        <v>100</v>
      </c>
    </row>
    <row r="480" spans="4:10" hidden="1" x14ac:dyDescent="0.25">
      <c r="D480" s="8">
        <v>46079</v>
      </c>
      <c r="E480" s="9">
        <v>0.19513888888888889</v>
      </c>
      <c r="F480" t="s">
        <v>184</v>
      </c>
      <c r="G480" t="s">
        <v>236</v>
      </c>
      <c r="H480">
        <v>371015</v>
      </c>
      <c r="I480">
        <v>180754</v>
      </c>
      <c r="J480" s="6">
        <v>100</v>
      </c>
    </row>
    <row r="481" spans="4:10" hidden="1" x14ac:dyDescent="0.25">
      <c r="D481" s="8">
        <v>46079</v>
      </c>
      <c r="E481" s="9">
        <v>0.59097222222222223</v>
      </c>
      <c r="F481" t="s">
        <v>199</v>
      </c>
      <c r="G481" t="s">
        <v>236</v>
      </c>
      <c r="H481">
        <v>754120</v>
      </c>
      <c r="I481">
        <v>610790</v>
      </c>
      <c r="J481" s="6">
        <v>100</v>
      </c>
    </row>
    <row r="482" spans="4:10" hidden="1" x14ac:dyDescent="0.25">
      <c r="D482" s="8">
        <v>46079</v>
      </c>
      <c r="E482" s="9">
        <v>0.2076388888888889</v>
      </c>
      <c r="F482" t="s">
        <v>166</v>
      </c>
      <c r="G482" t="s">
        <v>87</v>
      </c>
      <c r="H482">
        <v>371027</v>
      </c>
      <c r="I482">
        <v>194212</v>
      </c>
      <c r="J482" s="6">
        <v>109</v>
      </c>
    </row>
    <row r="483" spans="4:10" hidden="1" x14ac:dyDescent="0.25">
      <c r="D483" s="8">
        <v>46079</v>
      </c>
      <c r="E483" s="9">
        <v>0.6645833333333333</v>
      </c>
      <c r="F483" t="s">
        <v>184</v>
      </c>
      <c r="G483" t="s">
        <v>167</v>
      </c>
      <c r="H483">
        <v>754154</v>
      </c>
      <c r="I483">
        <v>250264</v>
      </c>
      <c r="J483" s="6">
        <v>109.52</v>
      </c>
    </row>
    <row r="484" spans="4:10" hidden="1" x14ac:dyDescent="0.25">
      <c r="D484" s="8">
        <v>46079</v>
      </c>
      <c r="E484" s="9">
        <v>0.66249999999999998</v>
      </c>
      <c r="F484" t="s">
        <v>184</v>
      </c>
      <c r="G484" t="s">
        <v>236</v>
      </c>
      <c r="H484">
        <v>86836</v>
      </c>
      <c r="I484">
        <v>16660</v>
      </c>
      <c r="J484" s="6">
        <v>112.65</v>
      </c>
    </row>
    <row r="485" spans="4:10" hidden="1" x14ac:dyDescent="0.25">
      <c r="D485" s="8">
        <v>46079</v>
      </c>
      <c r="E485" s="9">
        <v>0.36458333333333331</v>
      </c>
      <c r="F485" t="s">
        <v>166</v>
      </c>
      <c r="G485" t="s">
        <v>87</v>
      </c>
      <c r="H485">
        <v>371100</v>
      </c>
      <c r="I485">
        <v>486953</v>
      </c>
      <c r="J485" s="6">
        <v>120</v>
      </c>
    </row>
    <row r="486" spans="4:10" hidden="1" x14ac:dyDescent="0.25">
      <c r="D486" s="8">
        <v>46079</v>
      </c>
      <c r="E486" s="9">
        <v>0.4597222222222222</v>
      </c>
      <c r="F486" t="s">
        <v>184</v>
      </c>
      <c r="G486" t="s">
        <v>87</v>
      </c>
      <c r="H486">
        <v>86744</v>
      </c>
      <c r="I486" t="s">
        <v>185</v>
      </c>
      <c r="J486" s="6">
        <v>120</v>
      </c>
    </row>
    <row r="487" spans="4:10" hidden="1" x14ac:dyDescent="0.25">
      <c r="D487" s="8">
        <v>46079</v>
      </c>
      <c r="E487" s="9">
        <v>0.3</v>
      </c>
      <c r="F487" t="s">
        <v>184</v>
      </c>
      <c r="G487" t="s">
        <v>236</v>
      </c>
      <c r="H487">
        <v>754040</v>
      </c>
      <c r="I487">
        <v>60617</v>
      </c>
      <c r="J487" s="6">
        <v>124.19</v>
      </c>
    </row>
    <row r="488" spans="4:10" hidden="1" x14ac:dyDescent="0.25">
      <c r="D488" s="8">
        <v>46079</v>
      </c>
      <c r="E488" s="9">
        <v>0.52013888888888893</v>
      </c>
      <c r="F488" t="s">
        <v>166</v>
      </c>
      <c r="G488" t="s">
        <v>236</v>
      </c>
      <c r="H488">
        <v>599876</v>
      </c>
      <c r="I488">
        <v>618546</v>
      </c>
      <c r="J488" s="6">
        <v>126.61</v>
      </c>
    </row>
    <row r="489" spans="4:10" hidden="1" x14ac:dyDescent="0.25">
      <c r="D489" s="8">
        <v>46079</v>
      </c>
      <c r="E489" s="9">
        <v>0.33541666666666664</v>
      </c>
      <c r="F489" t="s">
        <v>166</v>
      </c>
      <c r="G489" t="s">
        <v>167</v>
      </c>
      <c r="H489">
        <v>877580</v>
      </c>
      <c r="I489" t="s">
        <v>169</v>
      </c>
      <c r="J489" s="6">
        <v>129</v>
      </c>
    </row>
    <row r="490" spans="4:10" hidden="1" x14ac:dyDescent="0.25">
      <c r="D490" s="8">
        <v>46079</v>
      </c>
      <c r="E490" s="9">
        <v>0.26527777777777778</v>
      </c>
      <c r="F490" t="s">
        <v>199</v>
      </c>
      <c r="G490" t="s">
        <v>87</v>
      </c>
      <c r="H490">
        <v>610494</v>
      </c>
      <c r="I490">
        <v>379050</v>
      </c>
      <c r="J490" s="6">
        <v>129</v>
      </c>
    </row>
    <row r="491" spans="4:10" hidden="1" x14ac:dyDescent="0.25">
      <c r="D491" s="8">
        <v>46079</v>
      </c>
      <c r="E491" s="9">
        <v>0.90972222222222221</v>
      </c>
      <c r="F491" t="s">
        <v>184</v>
      </c>
      <c r="G491" t="s">
        <v>236</v>
      </c>
      <c r="H491">
        <v>610801</v>
      </c>
      <c r="I491">
        <v>448188</v>
      </c>
      <c r="J491" s="6">
        <v>129</v>
      </c>
    </row>
    <row r="492" spans="4:10" hidden="1" x14ac:dyDescent="0.25">
      <c r="D492" s="8">
        <v>46079</v>
      </c>
      <c r="E492" s="9">
        <v>0.4861111111111111</v>
      </c>
      <c r="F492" t="s">
        <v>166</v>
      </c>
      <c r="G492" t="s">
        <v>236</v>
      </c>
      <c r="H492">
        <v>610606</v>
      </c>
      <c r="I492" t="s">
        <v>243</v>
      </c>
      <c r="J492" s="6">
        <v>140.03</v>
      </c>
    </row>
    <row r="493" spans="4:10" hidden="1" x14ac:dyDescent="0.25">
      <c r="D493" s="8">
        <v>46079</v>
      </c>
      <c r="E493" s="9">
        <v>0.54374999999999996</v>
      </c>
      <c r="F493" t="s">
        <v>184</v>
      </c>
      <c r="G493" t="s">
        <v>87</v>
      </c>
      <c r="H493">
        <v>610641</v>
      </c>
      <c r="I493" t="s">
        <v>205</v>
      </c>
      <c r="J493" s="6">
        <v>144.71</v>
      </c>
    </row>
    <row r="494" spans="4:10" hidden="1" x14ac:dyDescent="0.25">
      <c r="D494" s="8">
        <v>46079</v>
      </c>
      <c r="E494" s="9">
        <v>0.30763888888888891</v>
      </c>
      <c r="F494" t="s">
        <v>166</v>
      </c>
      <c r="G494" t="s">
        <v>87</v>
      </c>
      <c r="H494">
        <v>877556</v>
      </c>
      <c r="I494">
        <v>701105</v>
      </c>
      <c r="J494" s="6">
        <v>150</v>
      </c>
    </row>
    <row r="495" spans="4:10" hidden="1" x14ac:dyDescent="0.25">
      <c r="D495" s="8">
        <v>46079</v>
      </c>
      <c r="E495" s="9">
        <v>0.68125000000000002</v>
      </c>
      <c r="F495" t="s">
        <v>166</v>
      </c>
      <c r="G495" t="s">
        <v>87</v>
      </c>
      <c r="H495">
        <v>374188</v>
      </c>
      <c r="I495">
        <v>627004</v>
      </c>
      <c r="J495" s="6">
        <v>150</v>
      </c>
    </row>
    <row r="496" spans="4:10" hidden="1" x14ac:dyDescent="0.25">
      <c r="D496" s="8">
        <v>46079</v>
      </c>
      <c r="E496" s="9">
        <v>3.4722222222222224E-2</v>
      </c>
      <c r="F496" t="s">
        <v>184</v>
      </c>
      <c r="G496" t="s">
        <v>167</v>
      </c>
      <c r="H496">
        <v>374096</v>
      </c>
      <c r="I496">
        <v>170071</v>
      </c>
      <c r="J496" s="6">
        <v>150</v>
      </c>
    </row>
    <row r="497" spans="4:10" hidden="1" x14ac:dyDescent="0.25">
      <c r="D497" s="8">
        <v>46079</v>
      </c>
      <c r="E497" s="9">
        <v>0.6118055555555556</v>
      </c>
      <c r="F497" t="s">
        <v>184</v>
      </c>
      <c r="G497" t="s">
        <v>167</v>
      </c>
      <c r="H497">
        <v>599916</v>
      </c>
      <c r="I497">
        <v>469821</v>
      </c>
      <c r="J497" s="6">
        <v>150</v>
      </c>
    </row>
    <row r="498" spans="4:10" hidden="1" x14ac:dyDescent="0.25">
      <c r="D498" s="8">
        <v>46079</v>
      </c>
      <c r="E498" s="9">
        <v>0.70347222222222228</v>
      </c>
      <c r="F498" t="s">
        <v>166</v>
      </c>
      <c r="G498" t="s">
        <v>236</v>
      </c>
      <c r="H498">
        <v>599932</v>
      </c>
      <c r="I498" t="s">
        <v>239</v>
      </c>
      <c r="J498" s="6">
        <v>150</v>
      </c>
    </row>
    <row r="499" spans="4:10" hidden="1" x14ac:dyDescent="0.25">
      <c r="D499" s="8">
        <v>46079</v>
      </c>
      <c r="E499" s="9">
        <v>0.82847222222222228</v>
      </c>
      <c r="F499" t="s">
        <v>184</v>
      </c>
      <c r="G499" t="s">
        <v>236</v>
      </c>
      <c r="H499">
        <v>86926</v>
      </c>
      <c r="I499">
        <v>427932</v>
      </c>
      <c r="J499" s="6">
        <v>150</v>
      </c>
    </row>
    <row r="500" spans="4:10" hidden="1" x14ac:dyDescent="0.25">
      <c r="D500" s="8">
        <v>46079</v>
      </c>
      <c r="E500" s="9">
        <v>0.20694444444444443</v>
      </c>
      <c r="F500" t="s">
        <v>184</v>
      </c>
      <c r="G500" t="s">
        <v>236</v>
      </c>
      <c r="H500">
        <v>371023</v>
      </c>
      <c r="I500" t="s">
        <v>255</v>
      </c>
      <c r="J500" s="6">
        <v>150</v>
      </c>
    </row>
    <row r="501" spans="4:10" hidden="1" x14ac:dyDescent="0.25">
      <c r="D501" s="8">
        <v>46079</v>
      </c>
      <c r="E501" s="9">
        <v>8.4722222222222227E-2</v>
      </c>
      <c r="F501" t="s">
        <v>184</v>
      </c>
      <c r="G501" t="s">
        <v>167</v>
      </c>
      <c r="H501">
        <v>754012</v>
      </c>
      <c r="I501">
        <v>965303</v>
      </c>
      <c r="J501" s="6">
        <v>155.97</v>
      </c>
    </row>
    <row r="502" spans="4:10" hidden="1" x14ac:dyDescent="0.25">
      <c r="D502" s="8">
        <v>46079</v>
      </c>
      <c r="E502" s="9">
        <v>0.71319444444444446</v>
      </c>
      <c r="F502" t="s">
        <v>184</v>
      </c>
      <c r="G502" t="s">
        <v>236</v>
      </c>
      <c r="H502">
        <v>371192</v>
      </c>
      <c r="I502" t="s">
        <v>248</v>
      </c>
      <c r="J502" s="6">
        <v>158.97</v>
      </c>
    </row>
    <row r="503" spans="4:10" hidden="1" x14ac:dyDescent="0.25">
      <c r="D503" s="8">
        <v>46079</v>
      </c>
      <c r="E503" s="9">
        <v>0.64652777777777781</v>
      </c>
      <c r="F503" t="s">
        <v>266</v>
      </c>
      <c r="G503" t="s">
        <v>236</v>
      </c>
      <c r="H503">
        <v>371162</v>
      </c>
      <c r="I503">
        <v>615971</v>
      </c>
      <c r="J503" s="6">
        <v>184.26</v>
      </c>
    </row>
    <row r="504" spans="4:10" hidden="1" x14ac:dyDescent="0.25">
      <c r="D504" s="8">
        <v>46079</v>
      </c>
      <c r="E504" s="9">
        <v>0.69305555555555554</v>
      </c>
      <c r="F504" t="s">
        <v>184</v>
      </c>
      <c r="G504" t="s">
        <v>236</v>
      </c>
      <c r="H504">
        <v>599923</v>
      </c>
      <c r="I504">
        <v>701094</v>
      </c>
      <c r="J504" s="6">
        <v>193.5</v>
      </c>
    </row>
    <row r="505" spans="4:10" hidden="1" x14ac:dyDescent="0.25">
      <c r="D505" s="8">
        <v>46079</v>
      </c>
      <c r="E505" s="9">
        <v>0.41597222222222224</v>
      </c>
      <c r="F505" t="s">
        <v>184</v>
      </c>
      <c r="G505" t="s">
        <v>87</v>
      </c>
      <c r="H505">
        <v>371111</v>
      </c>
      <c r="I505">
        <v>595872</v>
      </c>
      <c r="J505" s="6">
        <v>200</v>
      </c>
    </row>
    <row r="506" spans="4:10" hidden="1" x14ac:dyDescent="0.25">
      <c r="D506" s="8">
        <v>46079</v>
      </c>
      <c r="E506" s="9">
        <v>0.39444444444444443</v>
      </c>
      <c r="F506" t="s">
        <v>166</v>
      </c>
      <c r="G506" t="s">
        <v>236</v>
      </c>
      <c r="H506">
        <v>610573</v>
      </c>
      <c r="I506">
        <v>10334</v>
      </c>
      <c r="J506" s="6">
        <v>200</v>
      </c>
    </row>
    <row r="507" spans="4:10" hidden="1" x14ac:dyDescent="0.25">
      <c r="D507" s="8">
        <v>46079</v>
      </c>
      <c r="E507" s="9">
        <v>0.7631944444444444</v>
      </c>
      <c r="F507" t="s">
        <v>184</v>
      </c>
      <c r="G507" t="s">
        <v>236</v>
      </c>
      <c r="H507">
        <v>610710</v>
      </c>
      <c r="I507">
        <v>19008</v>
      </c>
      <c r="J507" s="6">
        <v>200</v>
      </c>
    </row>
    <row r="508" spans="4:10" hidden="1" x14ac:dyDescent="0.25">
      <c r="D508" s="8">
        <v>46079</v>
      </c>
      <c r="E508" s="9">
        <v>0.8125</v>
      </c>
      <c r="F508" t="s">
        <v>184</v>
      </c>
      <c r="G508" t="s">
        <v>167</v>
      </c>
      <c r="H508">
        <v>86913</v>
      </c>
      <c r="I508" t="s">
        <v>227</v>
      </c>
      <c r="J508" s="6">
        <v>204.41</v>
      </c>
    </row>
    <row r="509" spans="4:10" hidden="1" x14ac:dyDescent="0.25">
      <c r="D509" s="8">
        <v>46079</v>
      </c>
      <c r="E509" s="9">
        <v>0.75763888888888886</v>
      </c>
      <c r="F509" t="s">
        <v>184</v>
      </c>
      <c r="G509" t="s">
        <v>167</v>
      </c>
      <c r="H509">
        <v>374216</v>
      </c>
      <c r="I509">
        <v>821852</v>
      </c>
      <c r="J509" s="6">
        <v>223.3</v>
      </c>
    </row>
    <row r="510" spans="4:10" hidden="1" x14ac:dyDescent="0.25">
      <c r="D510" s="8">
        <v>46079</v>
      </c>
      <c r="E510" s="9">
        <v>0.66111111111111109</v>
      </c>
      <c r="F510" t="s">
        <v>184</v>
      </c>
      <c r="G510" t="s">
        <v>236</v>
      </c>
      <c r="H510">
        <v>869528</v>
      </c>
      <c r="I510">
        <v>927847</v>
      </c>
      <c r="J510" s="6">
        <v>238.52</v>
      </c>
    </row>
    <row r="511" spans="4:10" hidden="1" x14ac:dyDescent="0.25">
      <c r="D511" s="8">
        <v>46079</v>
      </c>
      <c r="E511" s="9">
        <v>0.73958333333333337</v>
      </c>
      <c r="F511" t="s">
        <v>266</v>
      </c>
      <c r="G511" t="s">
        <v>236</v>
      </c>
      <c r="H511">
        <v>599955</v>
      </c>
      <c r="I511">
        <v>650696</v>
      </c>
      <c r="J511" s="6">
        <v>250.52</v>
      </c>
    </row>
    <row r="512" spans="4:10" hidden="1" x14ac:dyDescent="0.25">
      <c r="D512" s="8">
        <v>46079</v>
      </c>
      <c r="E512" s="9">
        <v>0.22361111111111112</v>
      </c>
      <c r="F512" t="s">
        <v>166</v>
      </c>
      <c r="G512" t="s">
        <v>236</v>
      </c>
      <c r="H512">
        <v>610460</v>
      </c>
      <c r="I512">
        <v>192103</v>
      </c>
      <c r="J512" s="6">
        <v>258.14</v>
      </c>
    </row>
    <row r="513" spans="4:10" hidden="1" x14ac:dyDescent="0.25">
      <c r="D513" s="8">
        <v>46079</v>
      </c>
      <c r="E513" s="9">
        <v>0.55694444444444446</v>
      </c>
      <c r="F513" t="s">
        <v>166</v>
      </c>
      <c r="G513" t="s">
        <v>236</v>
      </c>
      <c r="H513">
        <v>374108</v>
      </c>
      <c r="I513">
        <v>657064</v>
      </c>
      <c r="J513" s="6">
        <v>283.08999999999997</v>
      </c>
    </row>
    <row r="514" spans="4:10" hidden="1" x14ac:dyDescent="0.25">
      <c r="D514" s="8">
        <v>46079</v>
      </c>
      <c r="E514" s="9">
        <v>0.40486111111111112</v>
      </c>
      <c r="F514" t="s">
        <v>166</v>
      </c>
      <c r="G514" t="s">
        <v>236</v>
      </c>
      <c r="H514">
        <v>610582</v>
      </c>
      <c r="I514">
        <v>806495</v>
      </c>
      <c r="J514" s="6">
        <v>287.35000000000002</v>
      </c>
    </row>
  </sheetData>
  <autoFilter ref="A1:J514" xr:uid="{B63671B6-D812-4556-A37D-04A06959F674}">
    <filterColumn colId="5">
      <filters>
        <filter val="Pix"/>
      </filters>
    </filterColumn>
  </autoFilter>
  <sortState xmlns:xlrd2="http://schemas.microsoft.com/office/spreadsheetml/2017/richdata2" ref="A2:J514">
    <sortCondition ref="J3:J514"/>
  </sortState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97369-329F-41D0-9490-CA6DB63B80E8}">
  <dimension ref="A1:K174"/>
  <sheetViews>
    <sheetView topLeftCell="A137" workbookViewId="0">
      <selection activeCell="H168" sqref="H168"/>
    </sheetView>
  </sheetViews>
  <sheetFormatPr defaultRowHeight="15" x14ac:dyDescent="0.25"/>
  <sheetData>
    <row r="1" spans="1:11" x14ac:dyDescent="0.25">
      <c r="A1" t="s">
        <v>78</v>
      </c>
      <c r="B1" t="s">
        <v>79</v>
      </c>
      <c r="C1" t="s">
        <v>82</v>
      </c>
      <c r="D1" t="s">
        <v>81</v>
      </c>
      <c r="E1" t="s">
        <v>88</v>
      </c>
      <c r="F1" t="s">
        <v>64</v>
      </c>
      <c r="G1" t="s">
        <v>84</v>
      </c>
      <c r="H1" t="s">
        <v>267</v>
      </c>
      <c r="I1" t="s">
        <v>57</v>
      </c>
      <c r="J1" t="s">
        <v>1</v>
      </c>
      <c r="K1" t="s">
        <v>33</v>
      </c>
    </row>
    <row r="2" spans="1:11" x14ac:dyDescent="0.25">
      <c r="A2" s="8">
        <v>46079</v>
      </c>
      <c r="B2" s="9">
        <v>0.33611111111111114</v>
      </c>
      <c r="C2" t="s">
        <v>184</v>
      </c>
      <c r="D2" t="s">
        <v>87</v>
      </c>
      <c r="E2">
        <v>877582</v>
      </c>
      <c r="F2" t="s">
        <v>189</v>
      </c>
      <c r="G2" s="6">
        <v>3.45</v>
      </c>
      <c r="H2" s="6">
        <f>G2-I2</f>
        <v>0</v>
      </c>
      <c r="I2">
        <v>3.45</v>
      </c>
      <c r="J2" t="s">
        <v>23</v>
      </c>
      <c r="K2" t="s">
        <v>45</v>
      </c>
    </row>
    <row r="3" spans="1:11" x14ac:dyDescent="0.25">
      <c r="A3" s="8">
        <v>46079</v>
      </c>
      <c r="B3" s="9">
        <v>2.5694444444444443E-2</v>
      </c>
      <c r="C3" t="s">
        <v>184</v>
      </c>
      <c r="D3" t="s">
        <v>167</v>
      </c>
      <c r="E3">
        <v>374093</v>
      </c>
      <c r="F3">
        <v>238456</v>
      </c>
      <c r="G3" s="6">
        <v>5</v>
      </c>
      <c r="H3" s="6">
        <f t="shared" ref="H3:H66" si="0">G3-I3</f>
        <v>0</v>
      </c>
      <c r="I3">
        <v>5</v>
      </c>
      <c r="J3" t="s">
        <v>28</v>
      </c>
      <c r="K3" t="s">
        <v>38</v>
      </c>
    </row>
    <row r="4" spans="1:11" x14ac:dyDescent="0.25">
      <c r="A4" s="8">
        <v>46079</v>
      </c>
      <c r="B4" s="9">
        <v>0.95625000000000004</v>
      </c>
      <c r="C4" t="s">
        <v>184</v>
      </c>
      <c r="D4" t="s">
        <v>87</v>
      </c>
      <c r="E4">
        <v>610833</v>
      </c>
      <c r="F4" t="s">
        <v>233</v>
      </c>
      <c r="G4" s="6">
        <v>5</v>
      </c>
      <c r="H4" s="6">
        <f t="shared" si="0"/>
        <v>0</v>
      </c>
      <c r="I4">
        <v>5</v>
      </c>
      <c r="J4" t="s">
        <v>31</v>
      </c>
      <c r="K4" t="s">
        <v>38</v>
      </c>
    </row>
    <row r="5" spans="1:11" x14ac:dyDescent="0.25">
      <c r="A5" s="8">
        <v>46079</v>
      </c>
      <c r="B5" s="9">
        <v>0.11805555555555555</v>
      </c>
      <c r="C5" t="s">
        <v>184</v>
      </c>
      <c r="D5" t="s">
        <v>167</v>
      </c>
      <c r="E5">
        <v>374122</v>
      </c>
      <c r="F5">
        <v>470026</v>
      </c>
      <c r="G5" s="6">
        <v>6.45</v>
      </c>
      <c r="H5" s="6">
        <f t="shared" si="0"/>
        <v>0</v>
      </c>
      <c r="I5">
        <v>6.45</v>
      </c>
      <c r="J5" t="s">
        <v>31</v>
      </c>
      <c r="K5" t="s">
        <v>38</v>
      </c>
    </row>
    <row r="6" spans="1:11" x14ac:dyDescent="0.25">
      <c r="A6" s="8">
        <v>46079</v>
      </c>
      <c r="B6" s="9">
        <v>0.50208333333333333</v>
      </c>
      <c r="C6" t="s">
        <v>184</v>
      </c>
      <c r="D6" t="s">
        <v>167</v>
      </c>
      <c r="E6">
        <v>86776</v>
      </c>
      <c r="F6">
        <v>38945</v>
      </c>
      <c r="G6" s="6">
        <v>7</v>
      </c>
      <c r="H6" s="6">
        <f t="shared" si="0"/>
        <v>0</v>
      </c>
      <c r="I6">
        <v>7</v>
      </c>
      <c r="J6" t="s">
        <v>24</v>
      </c>
      <c r="K6" t="s">
        <v>38</v>
      </c>
    </row>
    <row r="7" spans="1:11" x14ac:dyDescent="0.25">
      <c r="A7" s="8">
        <v>46079</v>
      </c>
      <c r="B7" s="9">
        <v>0.82361111111111107</v>
      </c>
      <c r="C7" t="s">
        <v>184</v>
      </c>
      <c r="D7" t="s">
        <v>87</v>
      </c>
      <c r="E7">
        <v>374224</v>
      </c>
      <c r="F7" t="s">
        <v>221</v>
      </c>
      <c r="G7" s="6">
        <v>7</v>
      </c>
      <c r="H7" s="6">
        <f t="shared" si="0"/>
        <v>0</v>
      </c>
      <c r="I7">
        <v>7</v>
      </c>
      <c r="J7" t="s">
        <v>30</v>
      </c>
      <c r="K7" t="s">
        <v>38</v>
      </c>
    </row>
    <row r="8" spans="1:11" x14ac:dyDescent="0.25">
      <c r="A8" s="8">
        <v>46079</v>
      </c>
      <c r="B8" s="9">
        <v>0.70208333333333328</v>
      </c>
      <c r="C8" t="s">
        <v>184</v>
      </c>
      <c r="D8" t="s">
        <v>87</v>
      </c>
      <c r="E8">
        <v>754179</v>
      </c>
      <c r="F8" t="s">
        <v>218</v>
      </c>
      <c r="G8" s="6">
        <v>8</v>
      </c>
      <c r="H8" s="6">
        <f t="shared" si="0"/>
        <v>0</v>
      </c>
      <c r="I8">
        <v>8</v>
      </c>
      <c r="J8" t="s">
        <v>23</v>
      </c>
      <c r="K8" t="s">
        <v>38</v>
      </c>
    </row>
    <row r="9" spans="1:11" x14ac:dyDescent="0.25">
      <c r="A9" s="8">
        <v>46079</v>
      </c>
      <c r="B9" s="9">
        <v>1.9444444444444445E-2</v>
      </c>
      <c r="C9" t="s">
        <v>184</v>
      </c>
      <c r="D9" t="s">
        <v>87</v>
      </c>
      <c r="E9">
        <v>374084</v>
      </c>
      <c r="F9">
        <v>280262</v>
      </c>
      <c r="G9" s="6">
        <v>10</v>
      </c>
      <c r="H9" s="6">
        <f t="shared" si="0"/>
        <v>0</v>
      </c>
      <c r="I9">
        <v>10</v>
      </c>
      <c r="J9" t="s">
        <v>22</v>
      </c>
      <c r="K9" t="s">
        <v>38</v>
      </c>
    </row>
    <row r="10" spans="1:11" x14ac:dyDescent="0.25">
      <c r="A10" s="8">
        <v>46079</v>
      </c>
      <c r="B10" s="9">
        <v>0.41180555555555554</v>
      </c>
      <c r="C10" t="s">
        <v>184</v>
      </c>
      <c r="D10" t="s">
        <v>87</v>
      </c>
      <c r="E10">
        <v>610587</v>
      </c>
      <c r="F10" t="s">
        <v>196</v>
      </c>
      <c r="G10" s="6">
        <v>10</v>
      </c>
      <c r="H10" s="6">
        <f t="shared" si="0"/>
        <v>0</v>
      </c>
      <c r="I10">
        <v>10</v>
      </c>
      <c r="J10" t="s">
        <v>23</v>
      </c>
      <c r="K10" t="s">
        <v>38</v>
      </c>
    </row>
    <row r="11" spans="1:11" x14ac:dyDescent="0.25">
      <c r="A11" s="8">
        <v>46079</v>
      </c>
      <c r="B11" s="9">
        <v>0.49791666666666667</v>
      </c>
      <c r="C11" t="s">
        <v>184</v>
      </c>
      <c r="D11" t="s">
        <v>167</v>
      </c>
      <c r="E11">
        <v>877685</v>
      </c>
      <c r="F11">
        <v>859452</v>
      </c>
      <c r="G11" s="6">
        <v>10</v>
      </c>
      <c r="H11" s="6">
        <f t="shared" si="0"/>
        <v>0</v>
      </c>
      <c r="I11">
        <v>10</v>
      </c>
      <c r="J11" t="s">
        <v>26</v>
      </c>
      <c r="K11" t="s">
        <v>38</v>
      </c>
    </row>
    <row r="12" spans="1:11" x14ac:dyDescent="0.25">
      <c r="A12" s="8">
        <v>46079</v>
      </c>
      <c r="B12" s="9">
        <v>0.25624999999999998</v>
      </c>
      <c r="C12" t="s">
        <v>184</v>
      </c>
      <c r="D12" t="s">
        <v>167</v>
      </c>
      <c r="E12">
        <v>610485</v>
      </c>
      <c r="F12">
        <v>555330</v>
      </c>
      <c r="G12" s="6">
        <v>10</v>
      </c>
      <c r="H12" s="6">
        <f t="shared" si="0"/>
        <v>0</v>
      </c>
      <c r="I12">
        <v>10</v>
      </c>
      <c r="J12" t="s">
        <v>26</v>
      </c>
      <c r="K12" t="s">
        <v>38</v>
      </c>
    </row>
    <row r="13" spans="1:11" x14ac:dyDescent="0.25">
      <c r="A13" s="8">
        <v>46079</v>
      </c>
      <c r="B13" s="9">
        <v>2.361111111111111E-2</v>
      </c>
      <c r="C13" t="s">
        <v>184</v>
      </c>
      <c r="D13" t="s">
        <v>167</v>
      </c>
      <c r="E13">
        <v>753992</v>
      </c>
      <c r="F13">
        <v>766251</v>
      </c>
      <c r="G13" s="6">
        <v>10</v>
      </c>
      <c r="H13" s="6">
        <f t="shared" si="0"/>
        <v>0</v>
      </c>
      <c r="I13">
        <v>10</v>
      </c>
      <c r="J13" t="s">
        <v>27</v>
      </c>
      <c r="K13" t="s">
        <v>38</v>
      </c>
    </row>
    <row r="14" spans="1:11" x14ac:dyDescent="0.25">
      <c r="A14" s="8">
        <v>46079</v>
      </c>
      <c r="B14" s="9">
        <v>0.71805555555555556</v>
      </c>
      <c r="C14" t="s">
        <v>184</v>
      </c>
      <c r="D14" t="s">
        <v>87</v>
      </c>
      <c r="E14">
        <v>599941</v>
      </c>
      <c r="F14" t="s">
        <v>216</v>
      </c>
      <c r="G14" s="6">
        <v>10</v>
      </c>
      <c r="H14" s="6">
        <f t="shared" si="0"/>
        <v>0</v>
      </c>
      <c r="I14">
        <v>10</v>
      </c>
      <c r="J14" t="s">
        <v>31</v>
      </c>
      <c r="K14" t="s">
        <v>38</v>
      </c>
    </row>
    <row r="15" spans="1:11" x14ac:dyDescent="0.25">
      <c r="A15" s="8">
        <v>46079</v>
      </c>
      <c r="B15" s="9">
        <v>0.37361111111111112</v>
      </c>
      <c r="C15" t="s">
        <v>184</v>
      </c>
      <c r="D15" t="s">
        <v>167</v>
      </c>
      <c r="E15">
        <v>877608</v>
      </c>
      <c r="F15">
        <v>402890</v>
      </c>
      <c r="G15" s="6">
        <v>12.17</v>
      </c>
      <c r="H15" s="6">
        <f t="shared" si="0"/>
        <v>0</v>
      </c>
      <c r="I15">
        <v>12.17</v>
      </c>
      <c r="J15" t="s">
        <v>23</v>
      </c>
      <c r="K15" t="s">
        <v>38</v>
      </c>
    </row>
    <row r="16" spans="1:11" x14ac:dyDescent="0.25">
      <c r="A16" s="8">
        <v>46079</v>
      </c>
      <c r="B16" s="9">
        <v>0.63055555555555554</v>
      </c>
      <c r="C16" t="s">
        <v>184</v>
      </c>
      <c r="D16" t="s">
        <v>87</v>
      </c>
      <c r="E16">
        <v>754140</v>
      </c>
      <c r="F16" t="s">
        <v>211</v>
      </c>
      <c r="G16" s="6">
        <v>12.9</v>
      </c>
      <c r="H16" s="6">
        <f t="shared" si="0"/>
        <v>0</v>
      </c>
      <c r="I16">
        <v>12.9</v>
      </c>
      <c r="J16" t="s">
        <v>23</v>
      </c>
      <c r="K16" t="s">
        <v>38</v>
      </c>
    </row>
    <row r="17" spans="1:11" x14ac:dyDescent="0.25">
      <c r="A17" s="8">
        <v>46079</v>
      </c>
      <c r="B17" s="9">
        <v>0.71875</v>
      </c>
      <c r="C17" t="s">
        <v>184</v>
      </c>
      <c r="D17" t="s">
        <v>167</v>
      </c>
      <c r="E17">
        <v>754189</v>
      </c>
      <c r="F17">
        <v>567977</v>
      </c>
      <c r="G17" s="6">
        <v>13</v>
      </c>
      <c r="H17" s="6">
        <f t="shared" si="0"/>
        <v>0</v>
      </c>
      <c r="I17">
        <v>13</v>
      </c>
      <c r="J17" t="s">
        <v>23</v>
      </c>
      <c r="K17" t="s">
        <v>38</v>
      </c>
    </row>
    <row r="18" spans="1:11" x14ac:dyDescent="0.25">
      <c r="A18" s="8">
        <v>46079</v>
      </c>
      <c r="B18" s="9">
        <v>0.43055555555555558</v>
      </c>
      <c r="C18" t="s">
        <v>184</v>
      </c>
      <c r="D18" t="s">
        <v>87</v>
      </c>
      <c r="E18">
        <v>754097</v>
      </c>
      <c r="F18" t="s">
        <v>198</v>
      </c>
      <c r="G18" s="6">
        <v>15</v>
      </c>
      <c r="H18" s="6">
        <f t="shared" si="0"/>
        <v>0</v>
      </c>
      <c r="I18">
        <v>15</v>
      </c>
      <c r="J18" t="s">
        <v>25</v>
      </c>
      <c r="K18" t="s">
        <v>38</v>
      </c>
    </row>
    <row r="19" spans="1:11" x14ac:dyDescent="0.25">
      <c r="A19" s="8">
        <v>46079</v>
      </c>
      <c r="B19" s="9">
        <v>2.361111111111111E-2</v>
      </c>
      <c r="C19" t="s">
        <v>184</v>
      </c>
      <c r="D19" t="s">
        <v>167</v>
      </c>
      <c r="E19">
        <v>374090</v>
      </c>
      <c r="F19">
        <v>476068</v>
      </c>
      <c r="G19" s="6">
        <v>15</v>
      </c>
      <c r="H19" s="6">
        <f t="shared" si="0"/>
        <v>0</v>
      </c>
      <c r="I19">
        <v>15</v>
      </c>
      <c r="J19" t="s">
        <v>27</v>
      </c>
      <c r="K19" t="s">
        <v>38</v>
      </c>
    </row>
    <row r="20" spans="1:11" x14ac:dyDescent="0.25">
      <c r="A20" s="8">
        <v>46079</v>
      </c>
      <c r="B20" s="9">
        <v>0.54166666666666663</v>
      </c>
      <c r="C20" t="s">
        <v>184</v>
      </c>
      <c r="D20" t="s">
        <v>167</v>
      </c>
      <c r="E20">
        <v>599886</v>
      </c>
      <c r="F20">
        <v>943291</v>
      </c>
      <c r="G20" s="6">
        <v>15</v>
      </c>
      <c r="H20" s="6">
        <f t="shared" si="0"/>
        <v>0</v>
      </c>
      <c r="I20">
        <v>15</v>
      </c>
      <c r="J20" t="s">
        <v>31</v>
      </c>
      <c r="K20" t="s">
        <v>38</v>
      </c>
    </row>
    <row r="21" spans="1:11" x14ac:dyDescent="0.25">
      <c r="A21" s="8">
        <v>46079</v>
      </c>
      <c r="B21" s="9">
        <v>0.55972222222222223</v>
      </c>
      <c r="C21" t="s">
        <v>184</v>
      </c>
      <c r="D21" t="s">
        <v>167</v>
      </c>
      <c r="E21">
        <v>610644</v>
      </c>
      <c r="F21">
        <v>370578</v>
      </c>
      <c r="G21" s="6">
        <v>19.350000000000001</v>
      </c>
      <c r="H21" s="6">
        <f t="shared" si="0"/>
        <v>0</v>
      </c>
      <c r="I21">
        <v>19.350000000000001</v>
      </c>
      <c r="J21" t="s">
        <v>23</v>
      </c>
      <c r="K21" t="s">
        <v>38</v>
      </c>
    </row>
    <row r="22" spans="1:11" x14ac:dyDescent="0.25">
      <c r="A22" s="8">
        <v>46079</v>
      </c>
      <c r="B22" s="9">
        <v>0.74930555555555556</v>
      </c>
      <c r="C22" t="s">
        <v>184</v>
      </c>
      <c r="D22" t="s">
        <v>167</v>
      </c>
      <c r="E22">
        <v>754209</v>
      </c>
      <c r="F22">
        <v>313146</v>
      </c>
      <c r="G22" s="6">
        <v>19.350000000000001</v>
      </c>
      <c r="H22" s="6">
        <f t="shared" si="0"/>
        <v>0</v>
      </c>
      <c r="I22">
        <v>19.350000000000001</v>
      </c>
      <c r="J22" t="s">
        <v>26</v>
      </c>
      <c r="K22" t="s">
        <v>38</v>
      </c>
    </row>
    <row r="23" spans="1:11" x14ac:dyDescent="0.25">
      <c r="A23" s="8">
        <v>46079</v>
      </c>
      <c r="B23" s="9">
        <v>0.24097222222222223</v>
      </c>
      <c r="C23" t="s">
        <v>184</v>
      </c>
      <c r="D23" t="s">
        <v>167</v>
      </c>
      <c r="E23">
        <v>610477</v>
      </c>
      <c r="F23">
        <v>913401</v>
      </c>
      <c r="G23" s="6">
        <v>19.36</v>
      </c>
      <c r="H23" s="6">
        <f t="shared" si="0"/>
        <v>0</v>
      </c>
      <c r="I23">
        <v>19.36</v>
      </c>
      <c r="J23" t="s">
        <v>26</v>
      </c>
      <c r="K23" t="s">
        <v>38</v>
      </c>
    </row>
    <row r="24" spans="1:11" x14ac:dyDescent="0.25">
      <c r="A24" s="8">
        <v>46079</v>
      </c>
      <c r="B24" s="9">
        <v>0.66527777777777775</v>
      </c>
      <c r="C24" t="s">
        <v>184</v>
      </c>
      <c r="D24" t="s">
        <v>87</v>
      </c>
      <c r="E24">
        <v>610679</v>
      </c>
      <c r="F24" t="s">
        <v>209</v>
      </c>
      <c r="G24" s="6">
        <v>19.989999999999998</v>
      </c>
      <c r="H24" s="6">
        <f t="shared" si="0"/>
        <v>0</v>
      </c>
      <c r="I24">
        <v>19.989999999999998</v>
      </c>
      <c r="J24" t="s">
        <v>26</v>
      </c>
      <c r="K24" t="s">
        <v>38</v>
      </c>
    </row>
    <row r="25" spans="1:11" x14ac:dyDescent="0.25">
      <c r="A25" s="8">
        <v>46079</v>
      </c>
      <c r="B25" s="9">
        <v>0.47013888888888888</v>
      </c>
      <c r="C25" t="s">
        <v>184</v>
      </c>
      <c r="D25" t="s">
        <v>87</v>
      </c>
      <c r="E25">
        <v>86753</v>
      </c>
      <c r="F25">
        <v>721472</v>
      </c>
      <c r="G25" s="6">
        <v>20</v>
      </c>
      <c r="H25" s="6">
        <f t="shared" si="0"/>
        <v>0</v>
      </c>
      <c r="I25">
        <v>20</v>
      </c>
      <c r="J25" t="s">
        <v>22</v>
      </c>
      <c r="K25" t="s">
        <v>38</v>
      </c>
    </row>
    <row r="26" spans="1:11" x14ac:dyDescent="0.25">
      <c r="A26" s="8">
        <v>46079</v>
      </c>
      <c r="B26" s="9">
        <v>1.9444444444444445E-2</v>
      </c>
      <c r="C26" t="s">
        <v>184</v>
      </c>
      <c r="D26" t="s">
        <v>87</v>
      </c>
      <c r="E26">
        <v>374087</v>
      </c>
      <c r="F26">
        <v>284874</v>
      </c>
      <c r="G26" s="6">
        <v>20</v>
      </c>
      <c r="H26" s="6">
        <f t="shared" si="0"/>
        <v>0</v>
      </c>
      <c r="I26">
        <v>20</v>
      </c>
      <c r="J26" t="s">
        <v>23</v>
      </c>
      <c r="K26" t="s">
        <v>45</v>
      </c>
    </row>
    <row r="27" spans="1:11" x14ac:dyDescent="0.25">
      <c r="A27" s="8">
        <v>46079</v>
      </c>
      <c r="B27" s="9">
        <v>0.30069444444444443</v>
      </c>
      <c r="C27" t="s">
        <v>184</v>
      </c>
      <c r="D27" t="s">
        <v>87</v>
      </c>
      <c r="E27">
        <v>371062</v>
      </c>
      <c r="F27">
        <v>132564</v>
      </c>
      <c r="G27" s="6">
        <v>20</v>
      </c>
      <c r="H27" s="6">
        <f t="shared" si="0"/>
        <v>0</v>
      </c>
      <c r="I27">
        <v>20</v>
      </c>
      <c r="J27" t="s">
        <v>23</v>
      </c>
      <c r="K27" t="s">
        <v>38</v>
      </c>
    </row>
    <row r="28" spans="1:11" x14ac:dyDescent="0.25">
      <c r="A28" s="8">
        <v>46079</v>
      </c>
      <c r="B28" s="9">
        <v>0.31597222222222221</v>
      </c>
      <c r="C28" t="s">
        <v>184</v>
      </c>
      <c r="D28" t="s">
        <v>87</v>
      </c>
      <c r="E28">
        <v>371075</v>
      </c>
      <c r="F28" t="s">
        <v>192</v>
      </c>
      <c r="G28" s="6">
        <v>20</v>
      </c>
      <c r="H28" s="6">
        <f t="shared" si="0"/>
        <v>0</v>
      </c>
      <c r="I28">
        <v>20</v>
      </c>
      <c r="J28" t="s">
        <v>23</v>
      </c>
      <c r="K28" t="s">
        <v>38</v>
      </c>
    </row>
    <row r="29" spans="1:11" x14ac:dyDescent="0.25">
      <c r="A29" s="8">
        <v>46079</v>
      </c>
      <c r="B29" s="9">
        <v>0.29722222222222222</v>
      </c>
      <c r="C29" t="s">
        <v>184</v>
      </c>
      <c r="D29" t="s">
        <v>87</v>
      </c>
      <c r="E29">
        <v>610510</v>
      </c>
      <c r="F29" t="s">
        <v>194</v>
      </c>
      <c r="G29" s="6">
        <v>20</v>
      </c>
      <c r="H29" s="6">
        <f t="shared" si="0"/>
        <v>0</v>
      </c>
      <c r="I29">
        <v>20</v>
      </c>
      <c r="J29" t="s">
        <v>23</v>
      </c>
      <c r="K29" t="s">
        <v>38</v>
      </c>
    </row>
    <row r="30" spans="1:11" x14ac:dyDescent="0.25">
      <c r="A30" s="8">
        <v>46079</v>
      </c>
      <c r="B30" s="9">
        <v>0.33055555555555555</v>
      </c>
      <c r="C30" t="s">
        <v>184</v>
      </c>
      <c r="D30" t="s">
        <v>167</v>
      </c>
      <c r="E30">
        <v>877577</v>
      </c>
      <c r="F30">
        <v>619016</v>
      </c>
      <c r="G30" s="6">
        <v>20</v>
      </c>
      <c r="H30" s="6">
        <f t="shared" si="0"/>
        <v>0</v>
      </c>
      <c r="I30">
        <v>20</v>
      </c>
      <c r="J30" t="s">
        <v>24</v>
      </c>
      <c r="K30" t="s">
        <v>38</v>
      </c>
    </row>
    <row r="31" spans="1:11" x14ac:dyDescent="0.25">
      <c r="A31" s="8">
        <v>46079</v>
      </c>
      <c r="B31" s="9">
        <v>0.34444444444444444</v>
      </c>
      <c r="C31" t="s">
        <v>184</v>
      </c>
      <c r="D31" t="s">
        <v>167</v>
      </c>
      <c r="E31">
        <v>877591</v>
      </c>
      <c r="F31">
        <v>410888</v>
      </c>
      <c r="G31" s="6">
        <v>20</v>
      </c>
      <c r="H31" s="6">
        <f t="shared" si="0"/>
        <v>0</v>
      </c>
      <c r="I31">
        <v>20</v>
      </c>
      <c r="J31" t="s">
        <v>24</v>
      </c>
      <c r="K31" t="s">
        <v>38</v>
      </c>
    </row>
    <row r="32" spans="1:11" x14ac:dyDescent="0.25">
      <c r="A32" s="8">
        <v>46079</v>
      </c>
      <c r="B32" s="9">
        <v>0.21875</v>
      </c>
      <c r="C32" t="s">
        <v>184</v>
      </c>
      <c r="D32" t="s">
        <v>167</v>
      </c>
      <c r="E32">
        <v>610454</v>
      </c>
      <c r="F32">
        <v>31175</v>
      </c>
      <c r="G32" s="6">
        <v>20</v>
      </c>
      <c r="H32" s="6">
        <f t="shared" si="0"/>
        <v>0</v>
      </c>
      <c r="I32">
        <v>20</v>
      </c>
      <c r="J32" t="s">
        <v>24</v>
      </c>
      <c r="K32" t="s">
        <v>38</v>
      </c>
    </row>
    <row r="33" spans="1:11" x14ac:dyDescent="0.25">
      <c r="A33" s="8">
        <v>46079</v>
      </c>
      <c r="B33" s="9">
        <v>0.48055555555555557</v>
      </c>
      <c r="C33" t="s">
        <v>184</v>
      </c>
      <c r="D33" t="s">
        <v>167</v>
      </c>
      <c r="E33">
        <v>610602</v>
      </c>
      <c r="F33">
        <v>413934</v>
      </c>
      <c r="G33" s="6">
        <v>20</v>
      </c>
      <c r="H33" s="6">
        <f t="shared" si="0"/>
        <v>0</v>
      </c>
      <c r="I33">
        <v>20</v>
      </c>
      <c r="J33" t="s">
        <v>24</v>
      </c>
      <c r="K33" t="s">
        <v>38</v>
      </c>
    </row>
    <row r="34" spans="1:11" x14ac:dyDescent="0.25">
      <c r="A34" s="8">
        <v>46079</v>
      </c>
      <c r="B34" s="9">
        <v>0.41736111111111113</v>
      </c>
      <c r="C34" t="s">
        <v>184</v>
      </c>
      <c r="D34" t="s">
        <v>167</v>
      </c>
      <c r="E34">
        <v>599838</v>
      </c>
      <c r="F34">
        <v>87568</v>
      </c>
      <c r="G34" s="6">
        <v>20</v>
      </c>
      <c r="H34" s="6">
        <f t="shared" si="0"/>
        <v>0</v>
      </c>
      <c r="I34">
        <v>20</v>
      </c>
      <c r="J34" t="s">
        <v>24</v>
      </c>
      <c r="K34" t="s">
        <v>38</v>
      </c>
    </row>
    <row r="35" spans="1:11" x14ac:dyDescent="0.25">
      <c r="A35" s="8">
        <v>46079</v>
      </c>
      <c r="B35" s="9">
        <v>4.3055555555555555E-2</v>
      </c>
      <c r="C35" t="s">
        <v>184</v>
      </c>
      <c r="D35" t="s">
        <v>167</v>
      </c>
      <c r="E35">
        <v>754004</v>
      </c>
      <c r="F35">
        <v>703638</v>
      </c>
      <c r="G35" s="6">
        <v>20</v>
      </c>
      <c r="H35" s="6">
        <f t="shared" si="0"/>
        <v>0</v>
      </c>
      <c r="I35">
        <v>20</v>
      </c>
      <c r="J35" t="s">
        <v>25</v>
      </c>
      <c r="K35" t="s">
        <v>38</v>
      </c>
    </row>
    <row r="36" spans="1:11" x14ac:dyDescent="0.25">
      <c r="A36" s="8">
        <v>46079</v>
      </c>
      <c r="B36" s="9">
        <v>0.43541666666666667</v>
      </c>
      <c r="C36" t="s">
        <v>184</v>
      </c>
      <c r="D36" t="s">
        <v>167</v>
      </c>
      <c r="E36">
        <v>374050</v>
      </c>
      <c r="F36">
        <v>183479</v>
      </c>
      <c r="G36" s="6">
        <v>20</v>
      </c>
      <c r="H36" s="6">
        <f t="shared" si="0"/>
        <v>0</v>
      </c>
      <c r="I36">
        <v>20</v>
      </c>
      <c r="J36" t="s">
        <v>25</v>
      </c>
      <c r="K36" t="s">
        <v>38</v>
      </c>
    </row>
    <row r="37" spans="1:11" x14ac:dyDescent="0.25">
      <c r="A37" s="8">
        <v>46079</v>
      </c>
      <c r="B37" s="9">
        <v>0.59444444444444444</v>
      </c>
      <c r="C37" t="s">
        <v>184</v>
      </c>
      <c r="D37" t="s">
        <v>87</v>
      </c>
      <c r="E37">
        <v>869511</v>
      </c>
      <c r="F37" t="s">
        <v>201</v>
      </c>
      <c r="G37" s="6">
        <v>20</v>
      </c>
      <c r="H37" s="6">
        <f t="shared" si="0"/>
        <v>0</v>
      </c>
      <c r="I37">
        <v>20</v>
      </c>
      <c r="J37" t="s">
        <v>25</v>
      </c>
      <c r="K37" t="s">
        <v>38</v>
      </c>
    </row>
    <row r="38" spans="1:11" x14ac:dyDescent="0.25">
      <c r="A38" s="8">
        <v>46079</v>
      </c>
      <c r="B38" s="9">
        <v>0.58194444444444449</v>
      </c>
      <c r="C38" t="s">
        <v>184</v>
      </c>
      <c r="D38" t="s">
        <v>87</v>
      </c>
      <c r="E38">
        <v>599899</v>
      </c>
      <c r="F38" t="s">
        <v>210</v>
      </c>
      <c r="G38" s="6">
        <v>20</v>
      </c>
      <c r="H38" s="6">
        <f t="shared" si="0"/>
        <v>0</v>
      </c>
      <c r="I38">
        <v>20</v>
      </c>
      <c r="J38" t="s">
        <v>26</v>
      </c>
      <c r="K38" t="s">
        <v>38</v>
      </c>
    </row>
    <row r="39" spans="1:11" x14ac:dyDescent="0.25">
      <c r="A39" s="8">
        <v>46079</v>
      </c>
      <c r="B39" s="9">
        <v>0.54513888888888884</v>
      </c>
      <c r="C39" t="s">
        <v>184</v>
      </c>
      <c r="D39" t="s">
        <v>167</v>
      </c>
      <c r="E39">
        <v>86799</v>
      </c>
      <c r="F39">
        <v>724493</v>
      </c>
      <c r="G39" s="6">
        <v>20</v>
      </c>
      <c r="H39" s="6">
        <f t="shared" si="0"/>
        <v>0</v>
      </c>
      <c r="I39">
        <v>20</v>
      </c>
      <c r="J39" t="s">
        <v>26</v>
      </c>
      <c r="K39" t="s">
        <v>38</v>
      </c>
    </row>
    <row r="40" spans="1:11" x14ac:dyDescent="0.25">
      <c r="A40" s="8">
        <v>46079</v>
      </c>
      <c r="B40" s="9">
        <v>0.53402777777777777</v>
      </c>
      <c r="C40" t="s">
        <v>184</v>
      </c>
      <c r="D40" t="s">
        <v>167</v>
      </c>
      <c r="E40">
        <v>869505</v>
      </c>
      <c r="F40">
        <v>745869</v>
      </c>
      <c r="G40" s="6">
        <v>20</v>
      </c>
      <c r="H40" s="6">
        <f t="shared" si="0"/>
        <v>0</v>
      </c>
      <c r="I40">
        <v>20</v>
      </c>
      <c r="J40" t="s">
        <v>26</v>
      </c>
      <c r="K40" t="s">
        <v>38</v>
      </c>
    </row>
    <row r="41" spans="1:11" x14ac:dyDescent="0.25">
      <c r="A41" s="8">
        <v>46079</v>
      </c>
      <c r="B41" s="9">
        <v>0.59791666666666665</v>
      </c>
      <c r="C41" t="s">
        <v>184</v>
      </c>
      <c r="D41" t="s">
        <v>167</v>
      </c>
      <c r="E41">
        <v>869517</v>
      </c>
      <c r="F41">
        <v>124441</v>
      </c>
      <c r="G41" s="6">
        <v>20</v>
      </c>
      <c r="H41" s="6">
        <f t="shared" si="0"/>
        <v>0</v>
      </c>
      <c r="I41">
        <v>20</v>
      </c>
      <c r="J41" t="s">
        <v>27</v>
      </c>
      <c r="K41" t="s">
        <v>38</v>
      </c>
    </row>
    <row r="42" spans="1:11" x14ac:dyDescent="0.25">
      <c r="A42" s="8">
        <v>46079</v>
      </c>
      <c r="B42" s="9">
        <v>0.68472222222222223</v>
      </c>
      <c r="C42" t="s">
        <v>184</v>
      </c>
      <c r="D42" t="s">
        <v>167</v>
      </c>
      <c r="E42">
        <v>754165</v>
      </c>
      <c r="F42">
        <v>562981</v>
      </c>
      <c r="G42" s="6">
        <v>20</v>
      </c>
      <c r="H42" s="6">
        <f t="shared" si="0"/>
        <v>0</v>
      </c>
      <c r="I42">
        <v>20</v>
      </c>
      <c r="J42" t="s">
        <v>27</v>
      </c>
      <c r="K42" t="s">
        <v>38</v>
      </c>
    </row>
    <row r="43" spans="1:11" x14ac:dyDescent="0.25">
      <c r="A43" s="8">
        <v>46079</v>
      </c>
      <c r="B43" s="9">
        <v>0.73819444444444449</v>
      </c>
      <c r="C43" t="s">
        <v>184</v>
      </c>
      <c r="D43" t="s">
        <v>167</v>
      </c>
      <c r="E43">
        <v>754204</v>
      </c>
      <c r="F43">
        <v>253337</v>
      </c>
      <c r="G43" s="6">
        <v>20</v>
      </c>
      <c r="H43" s="6">
        <f t="shared" si="0"/>
        <v>0</v>
      </c>
      <c r="I43">
        <v>20</v>
      </c>
      <c r="J43" t="s">
        <v>28</v>
      </c>
      <c r="K43" t="s">
        <v>38</v>
      </c>
    </row>
    <row r="44" spans="1:11" x14ac:dyDescent="0.25">
      <c r="A44" s="8">
        <v>46079</v>
      </c>
      <c r="B44" s="9">
        <v>0.8305555555555556</v>
      </c>
      <c r="C44" t="s">
        <v>184</v>
      </c>
      <c r="D44" t="s">
        <v>87</v>
      </c>
      <c r="E44">
        <v>610757</v>
      </c>
      <c r="F44">
        <v>561464</v>
      </c>
      <c r="G44" s="6">
        <v>20</v>
      </c>
      <c r="H44" s="6">
        <f t="shared" si="0"/>
        <v>0</v>
      </c>
      <c r="I44">
        <v>20</v>
      </c>
      <c r="J44" t="s">
        <v>28</v>
      </c>
      <c r="K44" t="s">
        <v>38</v>
      </c>
    </row>
    <row r="45" spans="1:11" x14ac:dyDescent="0.25">
      <c r="A45" s="8">
        <v>46079</v>
      </c>
      <c r="B45" s="9">
        <v>0.79027777777777775</v>
      </c>
      <c r="C45" t="s">
        <v>184</v>
      </c>
      <c r="D45" t="s">
        <v>167</v>
      </c>
      <c r="E45">
        <v>86904</v>
      </c>
      <c r="F45">
        <v>987301</v>
      </c>
      <c r="G45" s="6">
        <v>20</v>
      </c>
      <c r="H45" s="6">
        <f t="shared" si="0"/>
        <v>0</v>
      </c>
      <c r="I45">
        <v>20</v>
      </c>
      <c r="J45" t="s">
        <v>28</v>
      </c>
      <c r="K45" t="s">
        <v>38</v>
      </c>
    </row>
    <row r="46" spans="1:11" x14ac:dyDescent="0.25">
      <c r="A46" s="8">
        <v>46079</v>
      </c>
      <c r="B46" s="9">
        <v>0.95347222222222228</v>
      </c>
      <c r="C46" t="s">
        <v>184</v>
      </c>
      <c r="D46" t="s">
        <v>87</v>
      </c>
      <c r="E46">
        <v>610830</v>
      </c>
      <c r="F46">
        <v>675637</v>
      </c>
      <c r="G46" s="6">
        <v>20</v>
      </c>
      <c r="H46" s="6">
        <f t="shared" si="0"/>
        <v>0</v>
      </c>
      <c r="I46">
        <v>20</v>
      </c>
      <c r="J46" t="s">
        <v>31</v>
      </c>
      <c r="K46" t="s">
        <v>38</v>
      </c>
    </row>
    <row r="47" spans="1:11" x14ac:dyDescent="0.25">
      <c r="A47" s="8">
        <v>46079</v>
      </c>
      <c r="B47" s="9">
        <v>0.88472222222222219</v>
      </c>
      <c r="C47" t="s">
        <v>184</v>
      </c>
      <c r="D47" t="s">
        <v>167</v>
      </c>
      <c r="E47">
        <v>86965</v>
      </c>
      <c r="F47">
        <v>108532</v>
      </c>
      <c r="G47" s="6">
        <v>20</v>
      </c>
      <c r="H47" s="6">
        <f t="shared" si="0"/>
        <v>0</v>
      </c>
      <c r="I47">
        <v>20</v>
      </c>
      <c r="J47" t="s">
        <v>32</v>
      </c>
      <c r="K47" t="s">
        <v>38</v>
      </c>
    </row>
    <row r="48" spans="1:11" x14ac:dyDescent="0.25">
      <c r="A48" s="8">
        <v>46079</v>
      </c>
      <c r="B48" s="9">
        <v>0.94513888888888886</v>
      </c>
      <c r="C48" t="s">
        <v>184</v>
      </c>
      <c r="D48" t="s">
        <v>167</v>
      </c>
      <c r="E48">
        <v>610823</v>
      </c>
      <c r="F48">
        <v>640423</v>
      </c>
      <c r="G48" s="6">
        <v>20</v>
      </c>
      <c r="H48" s="6">
        <f t="shared" si="0"/>
        <v>0</v>
      </c>
      <c r="I48">
        <v>20</v>
      </c>
      <c r="J48" t="s">
        <v>32</v>
      </c>
      <c r="K48" t="s">
        <v>38</v>
      </c>
    </row>
    <row r="49" spans="1:11" x14ac:dyDescent="0.25">
      <c r="A49" s="8">
        <v>46079</v>
      </c>
      <c r="B49" s="9">
        <v>0.85347222222222219</v>
      </c>
      <c r="C49" t="s">
        <v>184</v>
      </c>
      <c r="D49" t="s">
        <v>167</v>
      </c>
      <c r="E49">
        <v>877751</v>
      </c>
      <c r="F49">
        <v>667158</v>
      </c>
      <c r="G49" s="6">
        <v>20.67</v>
      </c>
      <c r="H49" s="6">
        <f t="shared" si="0"/>
        <v>0</v>
      </c>
      <c r="I49">
        <v>20.67</v>
      </c>
      <c r="J49" t="s">
        <v>29</v>
      </c>
      <c r="K49" t="s">
        <v>38</v>
      </c>
    </row>
    <row r="50" spans="1:11" x14ac:dyDescent="0.25">
      <c r="A50" s="8">
        <v>46079</v>
      </c>
      <c r="B50" s="9">
        <v>0.59375</v>
      </c>
      <c r="C50" t="s">
        <v>184</v>
      </c>
      <c r="D50" t="s">
        <v>87</v>
      </c>
      <c r="E50">
        <v>371145</v>
      </c>
      <c r="F50" t="s">
        <v>203</v>
      </c>
      <c r="G50" s="6">
        <v>24.35</v>
      </c>
      <c r="H50" s="6">
        <f t="shared" si="0"/>
        <v>0</v>
      </c>
      <c r="I50">
        <v>24.35</v>
      </c>
      <c r="J50" t="s">
        <v>32</v>
      </c>
      <c r="K50" t="s">
        <v>38</v>
      </c>
    </row>
    <row r="51" spans="1:11" x14ac:dyDescent="0.25">
      <c r="A51" s="8">
        <v>46079</v>
      </c>
      <c r="B51" s="9">
        <v>0.75972222222222219</v>
      </c>
      <c r="C51" t="s">
        <v>184</v>
      </c>
      <c r="D51" t="s">
        <v>87</v>
      </c>
      <c r="E51">
        <v>610707</v>
      </c>
      <c r="F51" t="s">
        <v>215</v>
      </c>
      <c r="G51" s="6">
        <v>25</v>
      </c>
      <c r="H51" s="6">
        <f t="shared" si="0"/>
        <v>0</v>
      </c>
      <c r="I51">
        <v>25</v>
      </c>
      <c r="J51" t="s">
        <v>24</v>
      </c>
      <c r="K51" t="s">
        <v>38</v>
      </c>
    </row>
    <row r="52" spans="1:11" x14ac:dyDescent="0.25">
      <c r="A52" s="8">
        <v>46079</v>
      </c>
      <c r="B52" s="9">
        <v>0.76736111111111116</v>
      </c>
      <c r="C52" t="s">
        <v>184</v>
      </c>
      <c r="D52" t="s">
        <v>167</v>
      </c>
      <c r="E52">
        <v>86895</v>
      </c>
      <c r="F52">
        <v>625896</v>
      </c>
      <c r="G52" s="6">
        <v>25</v>
      </c>
      <c r="H52" s="6">
        <f t="shared" si="0"/>
        <v>0</v>
      </c>
      <c r="I52">
        <v>25</v>
      </c>
      <c r="J52" t="s">
        <v>28</v>
      </c>
      <c r="K52" t="s">
        <v>38</v>
      </c>
    </row>
    <row r="53" spans="1:11" x14ac:dyDescent="0.25">
      <c r="A53" s="8">
        <v>46079</v>
      </c>
      <c r="B53" s="9">
        <v>0.89444444444444449</v>
      </c>
      <c r="C53" t="s">
        <v>184</v>
      </c>
      <c r="D53" t="s">
        <v>167</v>
      </c>
      <c r="E53">
        <v>877783</v>
      </c>
      <c r="F53">
        <v>122699</v>
      </c>
      <c r="G53" s="6">
        <v>25</v>
      </c>
      <c r="H53" s="6">
        <f t="shared" si="0"/>
        <v>0</v>
      </c>
      <c r="I53">
        <v>25</v>
      </c>
      <c r="J53" t="s">
        <v>28</v>
      </c>
      <c r="K53" t="s">
        <v>38</v>
      </c>
    </row>
    <row r="54" spans="1:11" x14ac:dyDescent="0.25">
      <c r="A54" s="8">
        <v>46079</v>
      </c>
      <c r="B54" s="9">
        <v>0.9291666666666667</v>
      </c>
      <c r="C54" t="s">
        <v>184</v>
      </c>
      <c r="D54" t="s">
        <v>167</v>
      </c>
      <c r="E54">
        <v>610815</v>
      </c>
      <c r="F54">
        <v>309057</v>
      </c>
      <c r="G54" s="6">
        <v>25</v>
      </c>
      <c r="H54" s="6">
        <f t="shared" si="0"/>
        <v>0</v>
      </c>
      <c r="I54">
        <v>25</v>
      </c>
      <c r="J54" t="s">
        <v>29</v>
      </c>
      <c r="K54" t="s">
        <v>38</v>
      </c>
    </row>
    <row r="55" spans="1:11" x14ac:dyDescent="0.25">
      <c r="A55" s="8">
        <v>46079</v>
      </c>
      <c r="B55" s="9">
        <v>8.0555555555555561E-2</v>
      </c>
      <c r="C55" t="s">
        <v>184</v>
      </c>
      <c r="D55" t="s">
        <v>87</v>
      </c>
      <c r="E55">
        <v>374108</v>
      </c>
      <c r="F55" t="s">
        <v>186</v>
      </c>
      <c r="G55" s="6">
        <v>25.71</v>
      </c>
      <c r="H55" s="6">
        <f t="shared" si="0"/>
        <v>0</v>
      </c>
      <c r="I55">
        <v>25.71</v>
      </c>
      <c r="J55" t="s">
        <v>31</v>
      </c>
      <c r="K55" t="s">
        <v>38</v>
      </c>
    </row>
    <row r="56" spans="1:11" x14ac:dyDescent="0.25">
      <c r="A56" s="8">
        <v>46079</v>
      </c>
      <c r="B56" s="9">
        <v>0.85833333333333328</v>
      </c>
      <c r="C56" t="s">
        <v>184</v>
      </c>
      <c r="D56" t="s">
        <v>167</v>
      </c>
      <c r="E56">
        <v>86951</v>
      </c>
      <c r="F56">
        <v>563371</v>
      </c>
      <c r="G56" s="6">
        <v>25.8</v>
      </c>
      <c r="H56" s="6">
        <f t="shared" si="0"/>
        <v>0</v>
      </c>
      <c r="I56">
        <v>25.8</v>
      </c>
      <c r="J56" t="s">
        <v>24</v>
      </c>
      <c r="K56" t="s">
        <v>38</v>
      </c>
    </row>
    <row r="57" spans="1:11" x14ac:dyDescent="0.25">
      <c r="A57" s="8">
        <v>46079</v>
      </c>
      <c r="B57" s="9">
        <v>0.22430555555555556</v>
      </c>
      <c r="C57" t="s">
        <v>184</v>
      </c>
      <c r="D57" t="s">
        <v>167</v>
      </c>
      <c r="E57">
        <v>374161</v>
      </c>
      <c r="F57">
        <v>333579</v>
      </c>
      <c r="G57" s="6">
        <v>26</v>
      </c>
      <c r="H57" s="6">
        <f t="shared" si="0"/>
        <v>0</v>
      </c>
      <c r="I57">
        <v>26</v>
      </c>
      <c r="J57" t="s">
        <v>31</v>
      </c>
      <c r="K57" t="s">
        <v>38</v>
      </c>
    </row>
    <row r="58" spans="1:11" x14ac:dyDescent="0.25">
      <c r="A58" s="8">
        <v>46079</v>
      </c>
      <c r="B58" s="9">
        <v>0.87708333333333333</v>
      </c>
      <c r="C58" t="s">
        <v>184</v>
      </c>
      <c r="D58" t="s">
        <v>167</v>
      </c>
      <c r="E58">
        <v>877770</v>
      </c>
      <c r="F58">
        <v>484246</v>
      </c>
      <c r="G58" s="6">
        <v>26.15</v>
      </c>
      <c r="H58" s="6">
        <f t="shared" si="0"/>
        <v>0</v>
      </c>
      <c r="I58">
        <v>26.15</v>
      </c>
      <c r="J58" t="s">
        <v>29</v>
      </c>
      <c r="K58" t="s">
        <v>38</v>
      </c>
    </row>
    <row r="59" spans="1:11" x14ac:dyDescent="0.25">
      <c r="A59" s="8">
        <v>46079</v>
      </c>
      <c r="B59" s="9">
        <v>0.97152777777777777</v>
      </c>
      <c r="C59" t="s">
        <v>184</v>
      </c>
      <c r="D59" t="s">
        <v>87</v>
      </c>
      <c r="E59">
        <v>374404</v>
      </c>
      <c r="F59" t="s">
        <v>235</v>
      </c>
      <c r="G59" s="6">
        <v>26.35</v>
      </c>
      <c r="H59" s="6">
        <f t="shared" si="0"/>
        <v>0</v>
      </c>
      <c r="I59">
        <v>26.35</v>
      </c>
      <c r="J59" t="s">
        <v>30</v>
      </c>
      <c r="K59" t="s">
        <v>38</v>
      </c>
    </row>
    <row r="60" spans="1:11" x14ac:dyDescent="0.25">
      <c r="A60" s="8">
        <v>46079</v>
      </c>
      <c r="B60" s="9">
        <v>0.39444444444444443</v>
      </c>
      <c r="C60" t="s">
        <v>184</v>
      </c>
      <c r="D60" t="s">
        <v>167</v>
      </c>
      <c r="E60">
        <v>754083</v>
      </c>
      <c r="F60">
        <v>484356</v>
      </c>
      <c r="G60" s="6">
        <v>29.24</v>
      </c>
      <c r="H60" s="6">
        <f t="shared" si="0"/>
        <v>0</v>
      </c>
      <c r="I60">
        <v>29.24</v>
      </c>
      <c r="J60" t="s">
        <v>25</v>
      </c>
      <c r="K60" t="s">
        <v>38</v>
      </c>
    </row>
    <row r="61" spans="1:11" x14ac:dyDescent="0.25">
      <c r="A61" s="8">
        <v>46079</v>
      </c>
      <c r="B61" s="9">
        <v>0.75347222222222221</v>
      </c>
      <c r="C61" t="s">
        <v>184</v>
      </c>
      <c r="D61" t="s">
        <v>87</v>
      </c>
      <c r="E61">
        <v>371211</v>
      </c>
      <c r="F61" t="s">
        <v>230</v>
      </c>
      <c r="G61" s="6">
        <v>29.53</v>
      </c>
      <c r="H61" s="6">
        <f t="shared" si="0"/>
        <v>0</v>
      </c>
      <c r="I61">
        <v>29.53</v>
      </c>
      <c r="J61" t="s">
        <v>32</v>
      </c>
      <c r="K61" t="s">
        <v>38</v>
      </c>
    </row>
    <row r="62" spans="1:11" x14ac:dyDescent="0.25">
      <c r="A62" s="8">
        <v>46079</v>
      </c>
      <c r="B62" s="9">
        <v>0.10138888888888889</v>
      </c>
      <c r="C62" t="s">
        <v>184</v>
      </c>
      <c r="D62" t="s">
        <v>87</v>
      </c>
      <c r="E62">
        <v>374112</v>
      </c>
      <c r="F62">
        <v>499293</v>
      </c>
      <c r="G62" s="6">
        <v>30</v>
      </c>
      <c r="H62" s="6">
        <f t="shared" si="0"/>
        <v>0</v>
      </c>
      <c r="I62">
        <v>30</v>
      </c>
      <c r="J62" t="s">
        <v>23</v>
      </c>
      <c r="K62" t="s">
        <v>45</v>
      </c>
    </row>
    <row r="63" spans="1:11" x14ac:dyDescent="0.25">
      <c r="A63" s="8">
        <v>46079</v>
      </c>
      <c r="B63" s="9">
        <v>0.31597222222222221</v>
      </c>
      <c r="C63" t="s">
        <v>184</v>
      </c>
      <c r="D63" t="s">
        <v>87</v>
      </c>
      <c r="E63">
        <v>599798</v>
      </c>
      <c r="F63" t="s">
        <v>197</v>
      </c>
      <c r="G63" s="6">
        <v>30</v>
      </c>
      <c r="H63" s="6">
        <f t="shared" si="0"/>
        <v>0</v>
      </c>
      <c r="I63">
        <v>30</v>
      </c>
      <c r="J63" t="s">
        <v>23</v>
      </c>
      <c r="K63" t="s">
        <v>38</v>
      </c>
    </row>
    <row r="64" spans="1:11" x14ac:dyDescent="0.25">
      <c r="A64" s="8">
        <v>46079</v>
      </c>
      <c r="B64" s="9">
        <v>0.18819444444444444</v>
      </c>
      <c r="C64" t="s">
        <v>184</v>
      </c>
      <c r="D64" t="s">
        <v>167</v>
      </c>
      <c r="E64">
        <v>374141</v>
      </c>
      <c r="F64">
        <v>740495</v>
      </c>
      <c r="G64" s="6">
        <v>30</v>
      </c>
      <c r="H64" s="6">
        <f t="shared" si="0"/>
        <v>0</v>
      </c>
      <c r="I64">
        <v>30</v>
      </c>
      <c r="J64" t="s">
        <v>23</v>
      </c>
      <c r="K64" t="s">
        <v>38</v>
      </c>
    </row>
    <row r="65" spans="1:11" x14ac:dyDescent="0.25">
      <c r="A65" s="8">
        <v>46079</v>
      </c>
      <c r="B65" s="9">
        <v>0.29444444444444445</v>
      </c>
      <c r="C65" t="s">
        <v>184</v>
      </c>
      <c r="D65" t="s">
        <v>167</v>
      </c>
      <c r="E65">
        <v>371053</v>
      </c>
      <c r="F65">
        <v>103934</v>
      </c>
      <c r="G65" s="6">
        <v>30</v>
      </c>
      <c r="H65" s="6">
        <f t="shared" si="0"/>
        <v>0</v>
      </c>
      <c r="I65">
        <v>30</v>
      </c>
      <c r="J65" t="s">
        <v>24</v>
      </c>
      <c r="K65" t="s">
        <v>38</v>
      </c>
    </row>
    <row r="66" spans="1:11" x14ac:dyDescent="0.25">
      <c r="A66" s="8">
        <v>46079</v>
      </c>
      <c r="B66" s="9">
        <v>0.25763888888888886</v>
      </c>
      <c r="C66" t="s">
        <v>184</v>
      </c>
      <c r="D66" t="s">
        <v>167</v>
      </c>
      <c r="E66">
        <v>610488</v>
      </c>
      <c r="F66">
        <v>429934</v>
      </c>
      <c r="G66" s="6">
        <v>30</v>
      </c>
      <c r="H66" s="6">
        <f t="shared" si="0"/>
        <v>0</v>
      </c>
      <c r="I66">
        <v>30</v>
      </c>
      <c r="J66" t="s">
        <v>24</v>
      </c>
      <c r="K66" t="s">
        <v>38</v>
      </c>
    </row>
    <row r="67" spans="1:11" x14ac:dyDescent="0.25">
      <c r="A67" s="8">
        <v>46079</v>
      </c>
      <c r="B67" s="9">
        <v>0.24305555555555555</v>
      </c>
      <c r="C67" t="s">
        <v>184</v>
      </c>
      <c r="D67" t="s">
        <v>167</v>
      </c>
      <c r="E67">
        <v>599758</v>
      </c>
      <c r="F67">
        <v>150264</v>
      </c>
      <c r="G67" s="6">
        <v>30</v>
      </c>
      <c r="H67" s="6">
        <f t="shared" ref="H67:H130" si="1">G67-I67</f>
        <v>0</v>
      </c>
      <c r="I67">
        <v>30</v>
      </c>
      <c r="J67" t="s">
        <v>25</v>
      </c>
      <c r="K67" t="s">
        <v>38</v>
      </c>
    </row>
    <row r="68" spans="1:11" x14ac:dyDescent="0.25">
      <c r="A68" s="8">
        <v>46079</v>
      </c>
      <c r="B68" s="9">
        <v>0.33055555555555555</v>
      </c>
      <c r="C68" t="s">
        <v>184</v>
      </c>
      <c r="D68" t="s">
        <v>167</v>
      </c>
      <c r="E68">
        <v>599809</v>
      </c>
      <c r="F68">
        <v>455085</v>
      </c>
      <c r="G68" s="6">
        <v>30</v>
      </c>
      <c r="H68" s="6">
        <f t="shared" si="1"/>
        <v>0</v>
      </c>
      <c r="I68">
        <v>30</v>
      </c>
      <c r="J68" t="s">
        <v>26</v>
      </c>
      <c r="K68" t="s">
        <v>38</v>
      </c>
    </row>
    <row r="69" spans="1:11" x14ac:dyDescent="0.25">
      <c r="A69" s="8">
        <v>46079</v>
      </c>
      <c r="B69" s="9">
        <v>0.40486111111111112</v>
      </c>
      <c r="C69" t="s">
        <v>184</v>
      </c>
      <c r="D69" t="s">
        <v>167</v>
      </c>
      <c r="E69">
        <v>599830</v>
      </c>
      <c r="F69">
        <v>399466</v>
      </c>
      <c r="G69" s="6">
        <v>30</v>
      </c>
      <c r="H69" s="6">
        <f t="shared" si="1"/>
        <v>0</v>
      </c>
      <c r="I69">
        <v>30</v>
      </c>
      <c r="J69" t="s">
        <v>27</v>
      </c>
      <c r="K69" t="s">
        <v>38</v>
      </c>
    </row>
    <row r="70" spans="1:11" x14ac:dyDescent="0.25">
      <c r="A70" s="8">
        <v>46079</v>
      </c>
      <c r="B70" s="9">
        <v>0.26111111111111113</v>
      </c>
      <c r="C70" t="s">
        <v>184</v>
      </c>
      <c r="D70" t="s">
        <v>167</v>
      </c>
      <c r="E70">
        <v>754021</v>
      </c>
      <c r="F70">
        <v>598051</v>
      </c>
      <c r="G70" s="6">
        <v>30</v>
      </c>
      <c r="H70" s="6">
        <f t="shared" si="1"/>
        <v>0</v>
      </c>
      <c r="I70">
        <v>30</v>
      </c>
      <c r="J70" t="s">
        <v>27</v>
      </c>
      <c r="K70" t="s">
        <v>38</v>
      </c>
    </row>
    <row r="71" spans="1:11" x14ac:dyDescent="0.25">
      <c r="A71" s="8">
        <v>46079</v>
      </c>
      <c r="B71" s="9">
        <v>0.6645833333333333</v>
      </c>
      <c r="C71" t="s">
        <v>184</v>
      </c>
      <c r="D71" t="s">
        <v>87</v>
      </c>
      <c r="E71">
        <v>754156</v>
      </c>
      <c r="F71">
        <v>574261</v>
      </c>
      <c r="G71" s="6">
        <v>30</v>
      </c>
      <c r="H71" s="6">
        <f t="shared" si="1"/>
        <v>0</v>
      </c>
      <c r="I71">
        <v>30</v>
      </c>
      <c r="J71" t="s">
        <v>27</v>
      </c>
      <c r="K71" t="s">
        <v>38</v>
      </c>
    </row>
    <row r="72" spans="1:11" x14ac:dyDescent="0.25">
      <c r="A72" s="8">
        <v>46079</v>
      </c>
      <c r="B72" s="9">
        <v>0.54097222222222219</v>
      </c>
      <c r="C72" t="s">
        <v>184</v>
      </c>
      <c r="D72" t="s">
        <v>167</v>
      </c>
      <c r="E72">
        <v>86793</v>
      </c>
      <c r="F72">
        <v>10570</v>
      </c>
      <c r="G72" s="6">
        <v>30</v>
      </c>
      <c r="H72" s="6">
        <f t="shared" si="1"/>
        <v>0</v>
      </c>
      <c r="I72">
        <v>30</v>
      </c>
      <c r="J72" t="s">
        <v>27</v>
      </c>
      <c r="K72" t="s">
        <v>38</v>
      </c>
    </row>
    <row r="73" spans="1:11" x14ac:dyDescent="0.25">
      <c r="A73" s="8">
        <v>46079</v>
      </c>
      <c r="B73" s="9">
        <v>0.74513888888888891</v>
      </c>
      <c r="C73" t="s">
        <v>184</v>
      </c>
      <c r="D73" t="s">
        <v>87</v>
      </c>
      <c r="E73">
        <v>371203</v>
      </c>
      <c r="F73" t="s">
        <v>214</v>
      </c>
      <c r="G73" s="6">
        <v>30</v>
      </c>
      <c r="H73" s="6">
        <f t="shared" si="1"/>
        <v>0</v>
      </c>
      <c r="I73">
        <v>30</v>
      </c>
      <c r="J73" t="s">
        <v>27</v>
      </c>
      <c r="K73" t="s">
        <v>38</v>
      </c>
    </row>
    <row r="74" spans="1:11" x14ac:dyDescent="0.25">
      <c r="A74" s="8">
        <v>46079</v>
      </c>
      <c r="B74" s="9">
        <v>0.72083333333333333</v>
      </c>
      <c r="C74" t="s">
        <v>184</v>
      </c>
      <c r="D74" t="s">
        <v>87</v>
      </c>
      <c r="E74">
        <v>599944</v>
      </c>
      <c r="F74" t="s">
        <v>217</v>
      </c>
      <c r="G74" s="6">
        <v>30</v>
      </c>
      <c r="H74" s="6">
        <f t="shared" si="1"/>
        <v>0</v>
      </c>
      <c r="I74">
        <v>30</v>
      </c>
      <c r="J74" t="s">
        <v>28</v>
      </c>
      <c r="K74" t="s">
        <v>38</v>
      </c>
    </row>
    <row r="75" spans="1:11" x14ac:dyDescent="0.25">
      <c r="A75" s="8">
        <v>46079</v>
      </c>
      <c r="B75" s="9">
        <v>0.70277777777777772</v>
      </c>
      <c r="C75" t="s">
        <v>184</v>
      </c>
      <c r="D75" t="s">
        <v>87</v>
      </c>
      <c r="E75">
        <v>754182</v>
      </c>
      <c r="F75" t="s">
        <v>219</v>
      </c>
      <c r="G75" s="6">
        <v>30</v>
      </c>
      <c r="H75" s="6">
        <f t="shared" si="1"/>
        <v>0</v>
      </c>
      <c r="I75">
        <v>30</v>
      </c>
      <c r="J75" t="s">
        <v>28</v>
      </c>
      <c r="K75" t="s">
        <v>38</v>
      </c>
    </row>
    <row r="76" spans="1:11" x14ac:dyDescent="0.25">
      <c r="A76" s="8">
        <v>46079</v>
      </c>
      <c r="B76" s="9">
        <v>0.75208333333333333</v>
      </c>
      <c r="C76" t="s">
        <v>184</v>
      </c>
      <c r="D76" t="s">
        <v>167</v>
      </c>
      <c r="E76">
        <v>374208</v>
      </c>
      <c r="F76">
        <v>630387</v>
      </c>
      <c r="G76" s="6">
        <v>30</v>
      </c>
      <c r="H76" s="6">
        <f t="shared" si="1"/>
        <v>0</v>
      </c>
      <c r="I76">
        <v>30</v>
      </c>
      <c r="J76" t="s">
        <v>28</v>
      </c>
      <c r="K76" t="s">
        <v>38</v>
      </c>
    </row>
    <row r="77" spans="1:11" x14ac:dyDescent="0.25">
      <c r="A77" s="8">
        <v>46079</v>
      </c>
      <c r="B77" s="9">
        <v>0.73263888888888884</v>
      </c>
      <c r="C77" t="s">
        <v>184</v>
      </c>
      <c r="D77" t="s">
        <v>167</v>
      </c>
      <c r="E77">
        <v>754199</v>
      </c>
      <c r="F77">
        <v>312903</v>
      </c>
      <c r="G77" s="6">
        <v>30</v>
      </c>
      <c r="H77" s="6">
        <f t="shared" si="1"/>
        <v>0</v>
      </c>
      <c r="I77">
        <v>30</v>
      </c>
      <c r="J77" t="s">
        <v>29</v>
      </c>
      <c r="K77" t="s">
        <v>38</v>
      </c>
    </row>
    <row r="78" spans="1:11" x14ac:dyDescent="0.25">
      <c r="A78" s="8">
        <v>46079</v>
      </c>
      <c r="B78" s="9">
        <v>0.71875</v>
      </c>
      <c r="C78" t="s">
        <v>184</v>
      </c>
      <c r="D78" t="s">
        <v>167</v>
      </c>
      <c r="E78">
        <v>374206</v>
      </c>
      <c r="F78">
        <v>874790</v>
      </c>
      <c r="G78" s="6">
        <v>30</v>
      </c>
      <c r="H78" s="6">
        <f t="shared" si="1"/>
        <v>0</v>
      </c>
      <c r="I78">
        <v>30</v>
      </c>
      <c r="J78" t="s">
        <v>30</v>
      </c>
      <c r="K78" t="s">
        <v>38</v>
      </c>
    </row>
    <row r="79" spans="1:11" x14ac:dyDescent="0.25">
      <c r="A79" s="8">
        <v>46079</v>
      </c>
      <c r="B79" s="9">
        <v>0.7729166666666667</v>
      </c>
      <c r="C79" t="s">
        <v>184</v>
      </c>
      <c r="D79" t="s">
        <v>167</v>
      </c>
      <c r="E79">
        <v>374246</v>
      </c>
      <c r="F79">
        <v>872422</v>
      </c>
      <c r="G79" s="6">
        <v>30</v>
      </c>
      <c r="H79" s="6">
        <f t="shared" si="1"/>
        <v>0</v>
      </c>
      <c r="I79">
        <v>30</v>
      </c>
      <c r="J79" t="s">
        <v>30</v>
      </c>
      <c r="K79" t="s">
        <v>38</v>
      </c>
    </row>
    <row r="80" spans="1:11" x14ac:dyDescent="0.25">
      <c r="A80" s="8">
        <v>46079</v>
      </c>
      <c r="B80" s="9">
        <v>0.77638888888888891</v>
      </c>
      <c r="C80" t="s">
        <v>184</v>
      </c>
      <c r="D80" t="s">
        <v>167</v>
      </c>
      <c r="E80">
        <v>374248</v>
      </c>
      <c r="F80">
        <v>74215</v>
      </c>
      <c r="G80" s="6">
        <v>30</v>
      </c>
      <c r="H80" s="6">
        <f t="shared" si="1"/>
        <v>0</v>
      </c>
      <c r="I80">
        <v>30</v>
      </c>
      <c r="J80" t="s">
        <v>30</v>
      </c>
      <c r="K80" t="s">
        <v>38</v>
      </c>
    </row>
    <row r="81" spans="1:11" x14ac:dyDescent="0.25">
      <c r="A81" s="8">
        <v>46079</v>
      </c>
      <c r="B81" s="9">
        <v>0.86111111111111116</v>
      </c>
      <c r="C81" t="s">
        <v>184</v>
      </c>
      <c r="D81" t="s">
        <v>167</v>
      </c>
      <c r="E81">
        <v>877758</v>
      </c>
      <c r="F81">
        <v>42023</v>
      </c>
      <c r="G81" s="6">
        <v>30</v>
      </c>
      <c r="H81" s="6">
        <f t="shared" si="1"/>
        <v>0</v>
      </c>
      <c r="I81">
        <v>30</v>
      </c>
      <c r="J81" t="s">
        <v>31</v>
      </c>
      <c r="K81" t="s">
        <v>38</v>
      </c>
    </row>
    <row r="82" spans="1:11" x14ac:dyDescent="0.25">
      <c r="A82" s="8">
        <v>46079</v>
      </c>
      <c r="B82" s="9">
        <v>0.79166666666666663</v>
      </c>
      <c r="C82" t="s">
        <v>184</v>
      </c>
      <c r="D82" t="s">
        <v>167</v>
      </c>
      <c r="E82">
        <v>610727</v>
      </c>
      <c r="F82">
        <v>564366</v>
      </c>
      <c r="G82" s="6">
        <v>30</v>
      </c>
      <c r="H82" s="6">
        <f t="shared" si="1"/>
        <v>0</v>
      </c>
      <c r="I82">
        <v>30</v>
      </c>
      <c r="J82" t="s">
        <v>31</v>
      </c>
      <c r="K82" t="s">
        <v>38</v>
      </c>
    </row>
    <row r="83" spans="1:11" x14ac:dyDescent="0.25">
      <c r="A83" s="8">
        <v>46079</v>
      </c>
      <c r="B83" s="9">
        <v>0.85416666666666663</v>
      </c>
      <c r="C83" t="s">
        <v>184</v>
      </c>
      <c r="D83" t="s">
        <v>167</v>
      </c>
      <c r="E83">
        <v>610770</v>
      </c>
      <c r="F83">
        <v>714377</v>
      </c>
      <c r="G83" s="6">
        <v>30</v>
      </c>
      <c r="H83" s="6">
        <f t="shared" si="1"/>
        <v>0</v>
      </c>
      <c r="I83">
        <v>30</v>
      </c>
      <c r="J83" t="s">
        <v>32</v>
      </c>
      <c r="K83" t="s">
        <v>38</v>
      </c>
    </row>
    <row r="84" spans="1:11" x14ac:dyDescent="0.25">
      <c r="A84" s="8">
        <v>46079</v>
      </c>
      <c r="B84" s="9">
        <v>0.85763888888888884</v>
      </c>
      <c r="C84" t="s">
        <v>184</v>
      </c>
      <c r="D84" t="s">
        <v>167</v>
      </c>
      <c r="E84">
        <v>610776</v>
      </c>
      <c r="F84">
        <v>451455</v>
      </c>
      <c r="G84" s="6">
        <v>30</v>
      </c>
      <c r="H84" s="6">
        <f t="shared" si="1"/>
        <v>0</v>
      </c>
      <c r="I84">
        <v>30</v>
      </c>
      <c r="J84" t="s">
        <v>32</v>
      </c>
      <c r="K84" t="s">
        <v>38</v>
      </c>
    </row>
    <row r="85" spans="1:11" x14ac:dyDescent="0.25">
      <c r="A85" s="8">
        <v>46079</v>
      </c>
      <c r="B85" s="9">
        <v>0.91874999999999996</v>
      </c>
      <c r="C85" t="s">
        <v>184</v>
      </c>
      <c r="D85" t="s">
        <v>167</v>
      </c>
      <c r="E85">
        <v>374361</v>
      </c>
      <c r="F85">
        <v>884553</v>
      </c>
      <c r="G85" s="6">
        <v>30</v>
      </c>
      <c r="H85" s="6">
        <f t="shared" si="1"/>
        <v>0</v>
      </c>
      <c r="I85">
        <v>30</v>
      </c>
      <c r="J85" t="s">
        <v>32</v>
      </c>
      <c r="K85" t="s">
        <v>38</v>
      </c>
    </row>
    <row r="86" spans="1:11" x14ac:dyDescent="0.25">
      <c r="A86" s="8">
        <v>46079</v>
      </c>
      <c r="B86" s="9">
        <v>0.66597222222222219</v>
      </c>
      <c r="C86" t="s">
        <v>184</v>
      </c>
      <c r="D86" t="s">
        <v>167</v>
      </c>
      <c r="E86">
        <v>374192</v>
      </c>
      <c r="F86">
        <v>299097</v>
      </c>
      <c r="G86" s="6">
        <v>30.06</v>
      </c>
      <c r="H86" s="6">
        <f t="shared" si="1"/>
        <v>0</v>
      </c>
      <c r="I86">
        <v>30.06</v>
      </c>
      <c r="J86" t="s">
        <v>30</v>
      </c>
      <c r="K86" t="s">
        <v>38</v>
      </c>
    </row>
    <row r="87" spans="1:11" x14ac:dyDescent="0.25">
      <c r="A87" s="8">
        <v>46079</v>
      </c>
      <c r="B87" s="9">
        <v>0.5805555555555556</v>
      </c>
      <c r="C87" t="s">
        <v>184</v>
      </c>
      <c r="D87" t="s">
        <v>167</v>
      </c>
      <c r="E87">
        <v>374123</v>
      </c>
      <c r="F87">
        <v>324119</v>
      </c>
      <c r="G87" s="6">
        <v>31.03</v>
      </c>
      <c r="H87" s="6">
        <f t="shared" si="1"/>
        <v>0</v>
      </c>
      <c r="I87">
        <v>31.03</v>
      </c>
      <c r="J87" t="s">
        <v>30</v>
      </c>
      <c r="K87" t="s">
        <v>38</v>
      </c>
    </row>
    <row r="88" spans="1:11" x14ac:dyDescent="0.25">
      <c r="A88" s="8">
        <v>46079</v>
      </c>
      <c r="B88" s="9">
        <v>0.8041666666666667</v>
      </c>
      <c r="C88" t="s">
        <v>184</v>
      </c>
      <c r="D88" t="s">
        <v>87</v>
      </c>
      <c r="E88">
        <v>877726</v>
      </c>
      <c r="F88" t="s">
        <v>222</v>
      </c>
      <c r="G88" s="6">
        <v>31.78</v>
      </c>
      <c r="H88" s="6">
        <f t="shared" si="1"/>
        <v>0</v>
      </c>
      <c r="I88">
        <v>31.78</v>
      </c>
      <c r="J88" t="s">
        <v>29</v>
      </c>
      <c r="K88" t="s">
        <v>38</v>
      </c>
    </row>
    <row r="89" spans="1:11" x14ac:dyDescent="0.25">
      <c r="A89" s="8">
        <v>46079</v>
      </c>
      <c r="B89" s="9">
        <v>0.89513888888888893</v>
      </c>
      <c r="C89" t="s">
        <v>184</v>
      </c>
      <c r="D89" t="s">
        <v>167</v>
      </c>
      <c r="E89">
        <v>610798</v>
      </c>
      <c r="F89">
        <v>143897</v>
      </c>
      <c r="G89" s="6">
        <v>32.25</v>
      </c>
      <c r="H89" s="6">
        <f t="shared" si="1"/>
        <v>0</v>
      </c>
      <c r="I89">
        <v>32.25</v>
      </c>
      <c r="J89" t="s">
        <v>28</v>
      </c>
      <c r="K89" t="s">
        <v>38</v>
      </c>
    </row>
    <row r="90" spans="1:11" x14ac:dyDescent="0.25">
      <c r="A90" s="8">
        <v>46079</v>
      </c>
      <c r="B90" s="9">
        <v>0.84652777777777777</v>
      </c>
      <c r="C90" t="s">
        <v>184</v>
      </c>
      <c r="D90" t="s">
        <v>167</v>
      </c>
      <c r="E90">
        <v>86943</v>
      </c>
      <c r="F90">
        <v>602368</v>
      </c>
      <c r="G90" s="6">
        <v>32.31</v>
      </c>
      <c r="H90" s="6">
        <f t="shared" si="1"/>
        <v>0</v>
      </c>
      <c r="I90">
        <v>32.31</v>
      </c>
      <c r="J90" t="s">
        <v>24</v>
      </c>
      <c r="K90" t="s">
        <v>38</v>
      </c>
    </row>
    <row r="91" spans="1:11" x14ac:dyDescent="0.25">
      <c r="A91" s="8">
        <v>46079</v>
      </c>
      <c r="B91" s="9">
        <v>0.45694444444444443</v>
      </c>
      <c r="C91" t="s">
        <v>184</v>
      </c>
      <c r="D91" t="s">
        <v>167</v>
      </c>
      <c r="E91">
        <v>86741</v>
      </c>
      <c r="F91">
        <v>444943</v>
      </c>
      <c r="G91" s="6">
        <v>32.44</v>
      </c>
      <c r="H91" s="6">
        <f t="shared" si="1"/>
        <v>0</v>
      </c>
      <c r="I91">
        <v>32.44</v>
      </c>
      <c r="J91" t="s">
        <v>24</v>
      </c>
      <c r="K91" t="s">
        <v>38</v>
      </c>
    </row>
    <row r="92" spans="1:11" x14ac:dyDescent="0.25">
      <c r="A92" s="8">
        <v>46079</v>
      </c>
      <c r="B92" s="9">
        <v>0.46736111111111112</v>
      </c>
      <c r="C92" t="s">
        <v>184</v>
      </c>
      <c r="D92" t="s">
        <v>167</v>
      </c>
      <c r="E92">
        <v>599854</v>
      </c>
      <c r="F92">
        <v>713516</v>
      </c>
      <c r="G92" s="6">
        <v>33.020000000000003</v>
      </c>
      <c r="H92" s="6">
        <f t="shared" si="1"/>
        <v>0</v>
      </c>
      <c r="I92">
        <v>33.020000000000003</v>
      </c>
      <c r="J92" t="s">
        <v>27</v>
      </c>
      <c r="K92" t="s">
        <v>38</v>
      </c>
    </row>
    <row r="93" spans="1:11" x14ac:dyDescent="0.25">
      <c r="A93" s="8">
        <v>46079</v>
      </c>
      <c r="B93" s="9">
        <v>7.5694444444444439E-2</v>
      </c>
      <c r="C93" t="s">
        <v>184</v>
      </c>
      <c r="D93" t="s">
        <v>167</v>
      </c>
      <c r="E93">
        <v>374105</v>
      </c>
      <c r="F93">
        <v>238270</v>
      </c>
      <c r="G93" s="6">
        <v>33.83</v>
      </c>
      <c r="H93" s="6">
        <f t="shared" si="1"/>
        <v>0</v>
      </c>
      <c r="I93">
        <v>33.83</v>
      </c>
      <c r="J93" t="s">
        <v>31</v>
      </c>
      <c r="K93" t="s">
        <v>38</v>
      </c>
    </row>
    <row r="94" spans="1:11" x14ac:dyDescent="0.25">
      <c r="A94" s="8">
        <v>46079</v>
      </c>
      <c r="B94" s="9">
        <v>0.81597222222222221</v>
      </c>
      <c r="C94" t="s">
        <v>184</v>
      </c>
      <c r="D94" t="s">
        <v>87</v>
      </c>
      <c r="E94">
        <v>86917</v>
      </c>
      <c r="F94" t="s">
        <v>220</v>
      </c>
      <c r="G94" s="6">
        <v>34.119999999999997</v>
      </c>
      <c r="H94" s="6">
        <f t="shared" si="1"/>
        <v>0</v>
      </c>
      <c r="I94">
        <v>34.119999999999997</v>
      </c>
      <c r="J94" t="s">
        <v>24</v>
      </c>
      <c r="K94" t="s">
        <v>38</v>
      </c>
    </row>
    <row r="95" spans="1:11" x14ac:dyDescent="0.25">
      <c r="A95" s="8">
        <v>46079</v>
      </c>
      <c r="B95" s="9">
        <v>0.82013888888888886</v>
      </c>
      <c r="C95" t="s">
        <v>184</v>
      </c>
      <c r="D95" t="s">
        <v>87</v>
      </c>
      <c r="E95">
        <v>877732</v>
      </c>
      <c r="F95" t="s">
        <v>223</v>
      </c>
      <c r="G95" s="6">
        <v>34.51</v>
      </c>
      <c r="H95" s="6">
        <f t="shared" si="1"/>
        <v>0</v>
      </c>
      <c r="I95">
        <v>34.51</v>
      </c>
      <c r="J95" t="s">
        <v>29</v>
      </c>
      <c r="K95" t="s">
        <v>38</v>
      </c>
    </row>
    <row r="96" spans="1:11" x14ac:dyDescent="0.25">
      <c r="A96" s="8">
        <v>46079</v>
      </c>
      <c r="B96" s="9">
        <v>0.60486111111111107</v>
      </c>
      <c r="C96" t="s">
        <v>184</v>
      </c>
      <c r="D96" t="s">
        <v>167</v>
      </c>
      <c r="E96">
        <v>374143</v>
      </c>
      <c r="F96">
        <v>907517</v>
      </c>
      <c r="G96" s="6">
        <v>34.58</v>
      </c>
      <c r="H96" s="6">
        <f t="shared" si="1"/>
        <v>0</v>
      </c>
      <c r="I96">
        <v>34.58</v>
      </c>
      <c r="J96" t="s">
        <v>30</v>
      </c>
      <c r="K96" t="s">
        <v>38</v>
      </c>
    </row>
    <row r="97" spans="1:11" x14ac:dyDescent="0.25">
      <c r="A97" s="8">
        <v>46079</v>
      </c>
      <c r="B97" s="9">
        <v>0.33680555555555558</v>
      </c>
      <c r="C97" t="s">
        <v>184</v>
      </c>
      <c r="D97" t="s">
        <v>167</v>
      </c>
      <c r="E97">
        <v>754064</v>
      </c>
      <c r="F97">
        <v>391239</v>
      </c>
      <c r="G97" s="6">
        <v>35</v>
      </c>
      <c r="H97" s="6">
        <f t="shared" si="1"/>
        <v>0</v>
      </c>
      <c r="I97">
        <v>35</v>
      </c>
      <c r="J97" t="s">
        <v>27</v>
      </c>
      <c r="K97" t="s">
        <v>45</v>
      </c>
    </row>
    <row r="98" spans="1:11" x14ac:dyDescent="0.25">
      <c r="A98" s="8">
        <v>46079</v>
      </c>
      <c r="B98" s="9">
        <v>0.5625</v>
      </c>
      <c r="C98" t="s">
        <v>184</v>
      </c>
      <c r="D98" t="s">
        <v>167</v>
      </c>
      <c r="E98">
        <v>599895</v>
      </c>
      <c r="F98">
        <v>333059</v>
      </c>
      <c r="G98" s="6">
        <v>35</v>
      </c>
      <c r="H98" s="6">
        <f t="shared" si="1"/>
        <v>0</v>
      </c>
      <c r="I98">
        <v>35</v>
      </c>
      <c r="J98" t="s">
        <v>27</v>
      </c>
      <c r="K98" t="s">
        <v>38</v>
      </c>
    </row>
    <row r="99" spans="1:11" x14ac:dyDescent="0.25">
      <c r="A99" s="8">
        <v>46079</v>
      </c>
      <c r="B99" s="9">
        <v>0.12847222222222221</v>
      </c>
      <c r="C99" t="s">
        <v>184</v>
      </c>
      <c r="D99" t="s">
        <v>167</v>
      </c>
      <c r="E99">
        <v>374126</v>
      </c>
      <c r="F99">
        <v>681847</v>
      </c>
      <c r="G99" s="6">
        <v>35.97</v>
      </c>
      <c r="H99" s="6">
        <f t="shared" si="1"/>
        <v>0</v>
      </c>
      <c r="I99">
        <v>35.97</v>
      </c>
      <c r="J99" t="s">
        <v>31</v>
      </c>
      <c r="K99" t="s">
        <v>38</v>
      </c>
    </row>
    <row r="100" spans="1:11" x14ac:dyDescent="0.25">
      <c r="A100" s="8">
        <v>46079</v>
      </c>
      <c r="B100" s="9">
        <v>0.875</v>
      </c>
      <c r="C100" t="s">
        <v>184</v>
      </c>
      <c r="D100" t="s">
        <v>167</v>
      </c>
      <c r="E100">
        <v>877767</v>
      </c>
      <c r="F100">
        <v>480401</v>
      </c>
      <c r="G100" s="6">
        <v>36.47</v>
      </c>
      <c r="H100" s="6">
        <f t="shared" si="1"/>
        <v>0</v>
      </c>
      <c r="I100">
        <v>36.47</v>
      </c>
      <c r="J100" t="s">
        <v>29</v>
      </c>
      <c r="K100" t="s">
        <v>38</v>
      </c>
    </row>
    <row r="101" spans="1:11" x14ac:dyDescent="0.25">
      <c r="A101" s="8">
        <v>46079</v>
      </c>
      <c r="B101" s="9">
        <v>0.72013888888888888</v>
      </c>
      <c r="C101" t="s">
        <v>184</v>
      </c>
      <c r="D101" t="s">
        <v>167</v>
      </c>
      <c r="E101">
        <v>86866</v>
      </c>
      <c r="F101">
        <v>465451</v>
      </c>
      <c r="G101" s="6">
        <v>37.39</v>
      </c>
      <c r="H101" s="6">
        <f t="shared" si="1"/>
        <v>0</v>
      </c>
      <c r="I101">
        <v>37.39</v>
      </c>
      <c r="J101" t="s">
        <v>24</v>
      </c>
      <c r="K101" t="s">
        <v>38</v>
      </c>
    </row>
    <row r="102" spans="1:11" x14ac:dyDescent="0.25">
      <c r="A102" s="8">
        <v>46079</v>
      </c>
      <c r="B102" s="9">
        <v>0.27777777777777779</v>
      </c>
      <c r="C102" t="s">
        <v>184</v>
      </c>
      <c r="D102" t="s">
        <v>167</v>
      </c>
      <c r="E102">
        <v>599780</v>
      </c>
      <c r="F102">
        <v>185149</v>
      </c>
      <c r="G102" s="6">
        <v>39.270000000000003</v>
      </c>
      <c r="H102" s="6">
        <f t="shared" si="1"/>
        <v>0</v>
      </c>
      <c r="I102">
        <v>39.270000000000003</v>
      </c>
      <c r="J102" t="s">
        <v>27</v>
      </c>
      <c r="K102" t="s">
        <v>38</v>
      </c>
    </row>
    <row r="103" spans="1:11" x14ac:dyDescent="0.25">
      <c r="A103" s="8">
        <v>46079</v>
      </c>
      <c r="B103" s="9">
        <v>0.4597222222222222</v>
      </c>
      <c r="C103" t="s">
        <v>184</v>
      </c>
      <c r="D103" t="s">
        <v>167</v>
      </c>
      <c r="E103">
        <v>599847</v>
      </c>
      <c r="F103" t="s">
        <v>200</v>
      </c>
      <c r="G103" s="6">
        <v>39.74</v>
      </c>
      <c r="H103" s="6">
        <f t="shared" si="1"/>
        <v>0</v>
      </c>
      <c r="I103">
        <v>39.74</v>
      </c>
      <c r="J103" t="s">
        <v>27</v>
      </c>
      <c r="K103" t="s">
        <v>38</v>
      </c>
    </row>
    <row r="104" spans="1:11" x14ac:dyDescent="0.25">
      <c r="A104" s="8">
        <v>46079</v>
      </c>
      <c r="B104" s="9">
        <v>0.44236111111111109</v>
      </c>
      <c r="C104" t="s">
        <v>184</v>
      </c>
      <c r="D104" t="s">
        <v>167</v>
      </c>
      <c r="E104">
        <v>877657</v>
      </c>
      <c r="F104">
        <v>865568</v>
      </c>
      <c r="G104" s="6">
        <v>39.82</v>
      </c>
      <c r="H104" s="6">
        <f t="shared" si="1"/>
        <v>0</v>
      </c>
      <c r="I104">
        <v>39.82</v>
      </c>
      <c r="J104" t="s">
        <v>23</v>
      </c>
      <c r="K104" t="s">
        <v>38</v>
      </c>
    </row>
    <row r="105" spans="1:11" x14ac:dyDescent="0.25">
      <c r="A105" s="8">
        <v>46079</v>
      </c>
      <c r="B105" s="9">
        <v>0.31111111111111112</v>
      </c>
      <c r="C105" t="s">
        <v>184</v>
      </c>
      <c r="D105" t="s">
        <v>87</v>
      </c>
      <c r="E105">
        <v>877561</v>
      </c>
      <c r="F105" t="s">
        <v>188</v>
      </c>
      <c r="G105" s="6">
        <v>40</v>
      </c>
      <c r="H105" s="6">
        <f t="shared" si="1"/>
        <v>0</v>
      </c>
      <c r="I105">
        <v>40</v>
      </c>
      <c r="J105" t="s">
        <v>24</v>
      </c>
      <c r="K105" t="s">
        <v>38</v>
      </c>
    </row>
    <row r="106" spans="1:11" x14ac:dyDescent="0.25">
      <c r="A106" s="8">
        <v>46079</v>
      </c>
      <c r="B106" s="9">
        <v>0.2902777777777778</v>
      </c>
      <c r="C106" t="s">
        <v>184</v>
      </c>
      <c r="D106" t="s">
        <v>87</v>
      </c>
      <c r="E106">
        <v>371049</v>
      </c>
      <c r="F106" t="s">
        <v>191</v>
      </c>
      <c r="G106" s="6">
        <v>40</v>
      </c>
      <c r="H106" s="6">
        <f t="shared" si="1"/>
        <v>0</v>
      </c>
      <c r="I106">
        <v>40</v>
      </c>
      <c r="J106" t="s">
        <v>27</v>
      </c>
      <c r="K106" t="s">
        <v>45</v>
      </c>
    </row>
    <row r="107" spans="1:11" x14ac:dyDescent="0.25">
      <c r="A107" s="8">
        <v>46079</v>
      </c>
      <c r="B107" s="9">
        <v>0.32916666666666666</v>
      </c>
      <c r="C107" t="s">
        <v>184</v>
      </c>
      <c r="D107" t="s">
        <v>167</v>
      </c>
      <c r="E107">
        <v>599806</v>
      </c>
      <c r="F107">
        <v>933836</v>
      </c>
      <c r="G107" s="6">
        <v>40</v>
      </c>
      <c r="H107" s="6">
        <f t="shared" si="1"/>
        <v>0</v>
      </c>
      <c r="I107">
        <v>40</v>
      </c>
      <c r="J107" t="s">
        <v>27</v>
      </c>
      <c r="K107" t="s">
        <v>38</v>
      </c>
    </row>
    <row r="108" spans="1:11" x14ac:dyDescent="0.25">
      <c r="A108" s="8">
        <v>46079</v>
      </c>
      <c r="B108" s="9">
        <v>0.44097222222222221</v>
      </c>
      <c r="C108" t="s">
        <v>184</v>
      </c>
      <c r="D108" t="s">
        <v>167</v>
      </c>
      <c r="E108">
        <v>599844</v>
      </c>
      <c r="F108">
        <v>33630</v>
      </c>
      <c r="G108" s="6">
        <v>40</v>
      </c>
      <c r="H108" s="6">
        <f t="shared" si="1"/>
        <v>0</v>
      </c>
      <c r="I108">
        <v>40</v>
      </c>
      <c r="J108" t="s">
        <v>27</v>
      </c>
      <c r="K108" t="s">
        <v>38</v>
      </c>
    </row>
    <row r="109" spans="1:11" x14ac:dyDescent="0.25">
      <c r="A109" s="8">
        <v>46079</v>
      </c>
      <c r="B109" s="9">
        <v>0.86041666666666672</v>
      </c>
      <c r="C109" t="s">
        <v>184</v>
      </c>
      <c r="D109" t="s">
        <v>167</v>
      </c>
      <c r="E109">
        <v>86954</v>
      </c>
      <c r="F109">
        <v>46132</v>
      </c>
      <c r="G109" s="6">
        <v>40</v>
      </c>
      <c r="H109" s="6">
        <f t="shared" si="1"/>
        <v>0</v>
      </c>
      <c r="I109">
        <v>40</v>
      </c>
      <c r="J109" t="s">
        <v>28</v>
      </c>
      <c r="K109" t="s">
        <v>38</v>
      </c>
    </row>
    <row r="110" spans="1:11" x14ac:dyDescent="0.25">
      <c r="A110" s="8">
        <v>46079</v>
      </c>
      <c r="B110" s="9">
        <v>0.92152777777777772</v>
      </c>
      <c r="C110" t="s">
        <v>184</v>
      </c>
      <c r="D110" t="s">
        <v>167</v>
      </c>
      <c r="E110">
        <v>610811</v>
      </c>
      <c r="F110">
        <v>297718</v>
      </c>
      <c r="G110" s="6">
        <v>40</v>
      </c>
      <c r="H110" s="6">
        <f t="shared" si="1"/>
        <v>0</v>
      </c>
      <c r="I110">
        <v>40</v>
      </c>
      <c r="J110" t="s">
        <v>32</v>
      </c>
      <c r="K110" t="s">
        <v>38</v>
      </c>
    </row>
    <row r="111" spans="1:11" x14ac:dyDescent="0.25">
      <c r="A111" s="8">
        <v>46079</v>
      </c>
      <c r="B111" s="9">
        <v>0.6069444444444444</v>
      </c>
      <c r="C111" t="s">
        <v>184</v>
      </c>
      <c r="D111" t="s">
        <v>87</v>
      </c>
      <c r="E111">
        <v>610660</v>
      </c>
      <c r="F111" t="s">
        <v>207</v>
      </c>
      <c r="G111" s="6">
        <v>40.630000000000003</v>
      </c>
      <c r="H111" s="6">
        <f t="shared" si="1"/>
        <v>0</v>
      </c>
      <c r="I111">
        <v>40.630000000000003</v>
      </c>
      <c r="J111" t="s">
        <v>26</v>
      </c>
      <c r="K111" t="s">
        <v>38</v>
      </c>
    </row>
    <row r="112" spans="1:11" x14ac:dyDescent="0.25">
      <c r="A112" s="8">
        <v>46079</v>
      </c>
      <c r="B112" s="9">
        <v>0.85624999999999996</v>
      </c>
      <c r="C112" t="s">
        <v>184</v>
      </c>
      <c r="D112" t="s">
        <v>87</v>
      </c>
      <c r="E112">
        <v>877754</v>
      </c>
      <c r="F112" t="s">
        <v>225</v>
      </c>
      <c r="G112" s="6">
        <v>40.76</v>
      </c>
      <c r="H112" s="6">
        <f t="shared" si="1"/>
        <v>0</v>
      </c>
      <c r="I112">
        <v>40.76</v>
      </c>
      <c r="J112" t="s">
        <v>29</v>
      </c>
      <c r="K112" t="s">
        <v>38</v>
      </c>
    </row>
    <row r="113" spans="1:11" x14ac:dyDescent="0.25">
      <c r="A113" s="8">
        <v>46079</v>
      </c>
      <c r="B113" s="9">
        <v>0.38055555555555554</v>
      </c>
      <c r="C113" t="s">
        <v>184</v>
      </c>
      <c r="D113" t="s">
        <v>87</v>
      </c>
      <c r="E113">
        <v>877611</v>
      </c>
      <c r="F113" t="s">
        <v>190</v>
      </c>
      <c r="G113" s="6">
        <v>41.01</v>
      </c>
      <c r="H113" s="6">
        <f t="shared" si="1"/>
        <v>0</v>
      </c>
      <c r="I113">
        <v>41.01</v>
      </c>
      <c r="J113" t="s">
        <v>23</v>
      </c>
      <c r="K113" t="s">
        <v>38</v>
      </c>
    </row>
    <row r="114" spans="1:11" x14ac:dyDescent="0.25">
      <c r="A114" s="8">
        <v>46079</v>
      </c>
      <c r="B114" s="9">
        <v>0.53472222222222221</v>
      </c>
      <c r="C114" t="s">
        <v>184</v>
      </c>
      <c r="D114" t="s">
        <v>167</v>
      </c>
      <c r="E114">
        <v>610635</v>
      </c>
      <c r="F114">
        <v>224222</v>
      </c>
      <c r="G114" s="6">
        <v>41.04</v>
      </c>
      <c r="H114" s="6">
        <f t="shared" si="1"/>
        <v>0</v>
      </c>
      <c r="I114">
        <v>41.04</v>
      </c>
      <c r="J114" t="s">
        <v>26</v>
      </c>
      <c r="K114" t="s">
        <v>38</v>
      </c>
    </row>
    <row r="115" spans="1:11" x14ac:dyDescent="0.25">
      <c r="A115" s="8">
        <v>46079</v>
      </c>
      <c r="B115" s="9">
        <v>0.26597222222222222</v>
      </c>
      <c r="C115" t="s">
        <v>184</v>
      </c>
      <c r="D115" t="s">
        <v>167</v>
      </c>
      <c r="E115">
        <v>599770</v>
      </c>
      <c r="F115">
        <v>265988</v>
      </c>
      <c r="G115" s="6">
        <v>42.01</v>
      </c>
      <c r="H115" s="6">
        <f t="shared" si="1"/>
        <v>0</v>
      </c>
      <c r="I115">
        <v>42.01</v>
      </c>
      <c r="J115" t="s">
        <v>27</v>
      </c>
      <c r="K115" t="s">
        <v>38</v>
      </c>
    </row>
    <row r="116" spans="1:11" x14ac:dyDescent="0.25">
      <c r="A116" s="8">
        <v>46079</v>
      </c>
      <c r="B116" s="9">
        <v>0.78125</v>
      </c>
      <c r="C116" t="s">
        <v>184</v>
      </c>
      <c r="D116" t="s">
        <v>167</v>
      </c>
      <c r="E116">
        <v>374259</v>
      </c>
      <c r="F116">
        <v>852302</v>
      </c>
      <c r="G116" s="6">
        <v>42.88</v>
      </c>
      <c r="H116" s="6">
        <f t="shared" si="1"/>
        <v>0</v>
      </c>
      <c r="I116">
        <v>42.88</v>
      </c>
      <c r="J116" t="s">
        <v>30</v>
      </c>
      <c r="K116" t="s">
        <v>38</v>
      </c>
    </row>
    <row r="117" spans="1:11" x14ac:dyDescent="0.25">
      <c r="A117" s="8">
        <v>46079</v>
      </c>
      <c r="B117" s="9">
        <v>0.80972222222222223</v>
      </c>
      <c r="C117" t="s">
        <v>184</v>
      </c>
      <c r="D117" t="s">
        <v>87</v>
      </c>
      <c r="E117">
        <v>374283</v>
      </c>
      <c r="F117" t="s">
        <v>228</v>
      </c>
      <c r="G117" s="6">
        <v>44.01</v>
      </c>
      <c r="H117" s="6">
        <f t="shared" si="1"/>
        <v>0</v>
      </c>
      <c r="I117">
        <v>44.01</v>
      </c>
      <c r="J117" t="s">
        <v>30</v>
      </c>
      <c r="K117" t="s">
        <v>38</v>
      </c>
    </row>
    <row r="118" spans="1:11" x14ac:dyDescent="0.25">
      <c r="A118" s="8">
        <v>46079</v>
      </c>
      <c r="B118" s="9">
        <v>0.48888888888888887</v>
      </c>
      <c r="C118" t="s">
        <v>184</v>
      </c>
      <c r="D118" t="s">
        <v>167</v>
      </c>
      <c r="E118">
        <v>869490</v>
      </c>
      <c r="F118">
        <v>774534</v>
      </c>
      <c r="G118" s="6">
        <v>45</v>
      </c>
      <c r="H118" s="6">
        <f t="shared" si="1"/>
        <v>0</v>
      </c>
      <c r="I118">
        <v>45</v>
      </c>
      <c r="J118" t="s">
        <v>25</v>
      </c>
      <c r="K118" t="s">
        <v>38</v>
      </c>
    </row>
    <row r="119" spans="1:11" x14ac:dyDescent="0.25">
      <c r="A119" s="8">
        <v>46079</v>
      </c>
      <c r="B119" s="9">
        <v>0.4465277777777778</v>
      </c>
      <c r="C119" t="s">
        <v>184</v>
      </c>
      <c r="D119" t="s">
        <v>167</v>
      </c>
      <c r="E119">
        <v>371122</v>
      </c>
      <c r="F119">
        <v>681909</v>
      </c>
      <c r="G119" s="6">
        <v>45.02</v>
      </c>
      <c r="H119" s="6">
        <f t="shared" si="1"/>
        <v>0</v>
      </c>
      <c r="I119">
        <v>45.02</v>
      </c>
      <c r="J119" t="s">
        <v>32</v>
      </c>
      <c r="K119" t="s">
        <v>38</v>
      </c>
    </row>
    <row r="120" spans="1:11" x14ac:dyDescent="0.25">
      <c r="A120" s="8">
        <v>46079</v>
      </c>
      <c r="B120" s="9">
        <v>0.94236111111111109</v>
      </c>
      <c r="C120" t="s">
        <v>184</v>
      </c>
      <c r="D120" t="s">
        <v>87</v>
      </c>
      <c r="E120">
        <v>374380</v>
      </c>
      <c r="F120" t="s">
        <v>234</v>
      </c>
      <c r="G120" s="6">
        <v>46.75</v>
      </c>
      <c r="H120" s="6">
        <f t="shared" si="1"/>
        <v>0</v>
      </c>
      <c r="I120">
        <v>46.75</v>
      </c>
      <c r="J120" t="s">
        <v>30</v>
      </c>
      <c r="K120" t="s">
        <v>38</v>
      </c>
    </row>
    <row r="121" spans="1:11" x14ac:dyDescent="0.25">
      <c r="A121" s="8">
        <v>46079</v>
      </c>
      <c r="B121" s="9">
        <v>0.53263888888888888</v>
      </c>
      <c r="C121" t="s">
        <v>184</v>
      </c>
      <c r="D121" t="s">
        <v>167</v>
      </c>
      <c r="E121">
        <v>610632</v>
      </c>
      <c r="F121">
        <v>785754</v>
      </c>
      <c r="G121" s="6">
        <v>48.65</v>
      </c>
      <c r="H121" s="6">
        <f t="shared" si="1"/>
        <v>0</v>
      </c>
      <c r="I121">
        <v>48.65</v>
      </c>
      <c r="J121" t="s">
        <v>26</v>
      </c>
      <c r="K121" t="s">
        <v>38</v>
      </c>
    </row>
    <row r="122" spans="1:11" x14ac:dyDescent="0.25">
      <c r="A122" s="8">
        <v>46079</v>
      </c>
      <c r="B122" s="9">
        <v>0.14305555555555555</v>
      </c>
      <c r="C122" t="s">
        <v>184</v>
      </c>
      <c r="D122" t="s">
        <v>167</v>
      </c>
      <c r="E122">
        <v>373890</v>
      </c>
      <c r="F122">
        <v>168599</v>
      </c>
      <c r="G122" s="6">
        <v>48.85</v>
      </c>
      <c r="H122" s="6">
        <f t="shared" si="1"/>
        <v>0</v>
      </c>
      <c r="I122">
        <v>48.85</v>
      </c>
      <c r="J122" t="s">
        <v>22</v>
      </c>
      <c r="K122" t="s">
        <v>38</v>
      </c>
    </row>
    <row r="123" spans="1:11" x14ac:dyDescent="0.25">
      <c r="A123" s="8">
        <v>46079</v>
      </c>
      <c r="B123" s="9">
        <v>0.33333333333333331</v>
      </c>
      <c r="C123" t="s">
        <v>184</v>
      </c>
      <c r="D123" t="s">
        <v>87</v>
      </c>
      <c r="E123">
        <v>371087</v>
      </c>
      <c r="F123">
        <v>914920</v>
      </c>
      <c r="G123" s="6">
        <v>50</v>
      </c>
      <c r="H123" s="6">
        <f t="shared" si="1"/>
        <v>0</v>
      </c>
      <c r="I123">
        <v>50</v>
      </c>
      <c r="J123" t="s">
        <v>23</v>
      </c>
      <c r="K123" t="s">
        <v>38</v>
      </c>
    </row>
    <row r="124" spans="1:11" x14ac:dyDescent="0.25">
      <c r="A124" s="8">
        <v>46079</v>
      </c>
      <c r="B124" s="9">
        <v>0.37083333333333335</v>
      </c>
      <c r="C124" t="s">
        <v>184</v>
      </c>
      <c r="D124" t="s">
        <v>87</v>
      </c>
      <c r="E124">
        <v>610557</v>
      </c>
      <c r="F124" t="s">
        <v>195</v>
      </c>
      <c r="G124" s="6">
        <v>50</v>
      </c>
      <c r="H124" s="6">
        <f t="shared" si="1"/>
        <v>0</v>
      </c>
      <c r="I124">
        <v>50</v>
      </c>
      <c r="J124" t="s">
        <v>23</v>
      </c>
      <c r="K124" t="s">
        <v>38</v>
      </c>
    </row>
    <row r="125" spans="1:11" x14ac:dyDescent="0.25">
      <c r="A125" s="8">
        <v>46079</v>
      </c>
      <c r="B125" s="9">
        <v>0.37986111111111109</v>
      </c>
      <c r="C125" t="s">
        <v>184</v>
      </c>
      <c r="D125" t="s">
        <v>87</v>
      </c>
      <c r="E125">
        <v>754070</v>
      </c>
      <c r="F125">
        <v>621452</v>
      </c>
      <c r="G125" s="6">
        <v>50</v>
      </c>
      <c r="H125" s="6">
        <f t="shared" si="1"/>
        <v>0</v>
      </c>
      <c r="I125">
        <v>50</v>
      </c>
      <c r="J125" t="s">
        <v>25</v>
      </c>
      <c r="K125" t="s">
        <v>38</v>
      </c>
    </row>
    <row r="126" spans="1:11" x14ac:dyDescent="0.25">
      <c r="A126" s="8">
        <v>46079</v>
      </c>
      <c r="B126" s="9">
        <v>0.50624999999999998</v>
      </c>
      <c r="C126" t="s">
        <v>184</v>
      </c>
      <c r="D126" t="s">
        <v>87</v>
      </c>
      <c r="E126">
        <v>869500</v>
      </c>
      <c r="F126">
        <v>758436</v>
      </c>
      <c r="G126" s="6">
        <v>50</v>
      </c>
      <c r="H126" s="6">
        <f t="shared" si="1"/>
        <v>0</v>
      </c>
      <c r="I126">
        <v>50</v>
      </c>
      <c r="J126" t="s">
        <v>25</v>
      </c>
      <c r="K126" t="s">
        <v>38</v>
      </c>
    </row>
    <row r="127" spans="1:11" x14ac:dyDescent="0.25">
      <c r="A127" s="8">
        <v>46079</v>
      </c>
      <c r="B127" s="9">
        <v>0.64444444444444449</v>
      </c>
      <c r="C127" t="s">
        <v>184</v>
      </c>
      <c r="D127" t="s">
        <v>87</v>
      </c>
      <c r="E127">
        <v>371159</v>
      </c>
      <c r="F127" t="s">
        <v>204</v>
      </c>
      <c r="G127" s="6">
        <v>50</v>
      </c>
      <c r="H127" s="6">
        <f t="shared" si="1"/>
        <v>0</v>
      </c>
      <c r="I127">
        <v>50</v>
      </c>
      <c r="J127" t="s">
        <v>25</v>
      </c>
      <c r="K127" t="s">
        <v>38</v>
      </c>
    </row>
    <row r="128" spans="1:11" x14ac:dyDescent="0.25">
      <c r="A128" s="8">
        <v>46079</v>
      </c>
      <c r="B128" s="9">
        <v>0.64166666666666672</v>
      </c>
      <c r="C128" t="s">
        <v>184</v>
      </c>
      <c r="D128" t="s">
        <v>167</v>
      </c>
      <c r="E128">
        <v>754145</v>
      </c>
      <c r="F128">
        <v>750459</v>
      </c>
      <c r="G128" s="6">
        <v>50</v>
      </c>
      <c r="H128" s="6">
        <f t="shared" si="1"/>
        <v>0</v>
      </c>
      <c r="I128">
        <v>50</v>
      </c>
      <c r="J128" t="s">
        <v>26</v>
      </c>
      <c r="K128" t="s">
        <v>38</v>
      </c>
    </row>
    <row r="129" spans="1:11" x14ac:dyDescent="0.25">
      <c r="A129" s="8">
        <v>46079</v>
      </c>
      <c r="B129" s="9">
        <v>0.625</v>
      </c>
      <c r="C129" t="s">
        <v>184</v>
      </c>
      <c r="D129" t="s">
        <v>167</v>
      </c>
      <c r="E129">
        <v>374156</v>
      </c>
      <c r="F129">
        <v>543308</v>
      </c>
      <c r="G129" s="6">
        <v>50</v>
      </c>
      <c r="H129" s="6">
        <f t="shared" si="1"/>
        <v>0</v>
      </c>
      <c r="I129">
        <v>50</v>
      </c>
      <c r="J129" t="s">
        <v>28</v>
      </c>
      <c r="K129" t="s">
        <v>38</v>
      </c>
    </row>
    <row r="130" spans="1:11" x14ac:dyDescent="0.25">
      <c r="A130" s="8">
        <v>46079</v>
      </c>
      <c r="B130" s="9">
        <v>0.69236111111111109</v>
      </c>
      <c r="C130" t="s">
        <v>184</v>
      </c>
      <c r="D130" t="s">
        <v>167</v>
      </c>
      <c r="E130">
        <v>371183</v>
      </c>
      <c r="F130">
        <v>939533</v>
      </c>
      <c r="G130" s="6">
        <v>50</v>
      </c>
      <c r="H130" s="6">
        <f t="shared" si="1"/>
        <v>0</v>
      </c>
      <c r="I130">
        <v>50</v>
      </c>
      <c r="J130" t="s">
        <v>29</v>
      </c>
      <c r="K130" t="s">
        <v>38</v>
      </c>
    </row>
    <row r="131" spans="1:11" x14ac:dyDescent="0.25">
      <c r="A131" s="8">
        <v>46079</v>
      </c>
      <c r="B131" s="9">
        <v>0.72083333333333333</v>
      </c>
      <c r="C131" t="s">
        <v>184</v>
      </c>
      <c r="D131" t="s">
        <v>167</v>
      </c>
      <c r="E131">
        <v>754192</v>
      </c>
      <c r="F131">
        <v>388773</v>
      </c>
      <c r="G131" s="6">
        <v>50</v>
      </c>
      <c r="H131" s="6">
        <f t="shared" ref="H131:H174" si="2">G131-I131</f>
        <v>0</v>
      </c>
      <c r="I131">
        <v>50</v>
      </c>
      <c r="J131" t="s">
        <v>30</v>
      </c>
      <c r="K131" t="s">
        <v>38</v>
      </c>
    </row>
    <row r="132" spans="1:11" x14ac:dyDescent="0.25">
      <c r="A132" s="8">
        <v>46079</v>
      </c>
      <c r="B132" s="9">
        <v>0.87430555555555556</v>
      </c>
      <c r="C132" t="s">
        <v>184</v>
      </c>
      <c r="D132" t="s">
        <v>167</v>
      </c>
      <c r="E132">
        <v>877764</v>
      </c>
      <c r="F132">
        <v>79153</v>
      </c>
      <c r="G132" s="6">
        <v>50</v>
      </c>
      <c r="H132" s="6">
        <f t="shared" si="2"/>
        <v>0</v>
      </c>
      <c r="I132">
        <v>50</v>
      </c>
      <c r="J132" t="s">
        <v>32</v>
      </c>
      <c r="K132" t="s">
        <v>45</v>
      </c>
    </row>
    <row r="133" spans="1:11" x14ac:dyDescent="0.25">
      <c r="A133" s="8">
        <v>46079</v>
      </c>
      <c r="B133" s="9">
        <v>0.78541666666666665</v>
      </c>
      <c r="C133" t="s">
        <v>184</v>
      </c>
      <c r="D133" t="s">
        <v>167</v>
      </c>
      <c r="E133">
        <v>374267</v>
      </c>
      <c r="F133">
        <v>583860</v>
      </c>
      <c r="G133" s="6">
        <v>50</v>
      </c>
      <c r="H133" s="6">
        <f t="shared" si="2"/>
        <v>0</v>
      </c>
      <c r="I133">
        <v>50</v>
      </c>
      <c r="J133" t="s">
        <v>32</v>
      </c>
      <c r="K133" t="s">
        <v>38</v>
      </c>
    </row>
    <row r="134" spans="1:11" x14ac:dyDescent="0.25">
      <c r="A134" s="8">
        <v>46079</v>
      </c>
      <c r="B134" s="9">
        <v>0.91597222222222219</v>
      </c>
      <c r="C134" t="s">
        <v>184</v>
      </c>
      <c r="D134" t="s">
        <v>87</v>
      </c>
      <c r="E134">
        <v>610805</v>
      </c>
      <c r="F134" t="s">
        <v>232</v>
      </c>
      <c r="G134" s="6">
        <v>50</v>
      </c>
      <c r="H134" s="6">
        <f t="shared" si="2"/>
        <v>0</v>
      </c>
      <c r="I134">
        <v>50</v>
      </c>
      <c r="J134" t="s">
        <v>32</v>
      </c>
      <c r="K134" t="s">
        <v>38</v>
      </c>
    </row>
    <row r="135" spans="1:11" x14ac:dyDescent="0.25">
      <c r="A135" s="8">
        <v>46079</v>
      </c>
      <c r="B135" s="9">
        <v>0.71458333333333335</v>
      </c>
      <c r="C135" t="s">
        <v>184</v>
      </c>
      <c r="D135" t="s">
        <v>167</v>
      </c>
      <c r="E135">
        <v>86863</v>
      </c>
      <c r="F135">
        <v>139540</v>
      </c>
      <c r="G135" s="6">
        <v>50.89</v>
      </c>
      <c r="H135" s="6">
        <f t="shared" si="2"/>
        <v>0</v>
      </c>
      <c r="I135">
        <v>50.89</v>
      </c>
      <c r="J135" t="s">
        <v>24</v>
      </c>
      <c r="K135" t="s">
        <v>38</v>
      </c>
    </row>
    <row r="136" spans="1:11" x14ac:dyDescent="0.25">
      <c r="A136" s="8">
        <v>46079</v>
      </c>
      <c r="B136" s="9">
        <v>0.2951388888888889</v>
      </c>
      <c r="C136" t="s">
        <v>184</v>
      </c>
      <c r="D136" t="s">
        <v>167</v>
      </c>
      <c r="E136">
        <v>877545</v>
      </c>
      <c r="F136">
        <v>308862</v>
      </c>
      <c r="G136" s="6">
        <v>51.64</v>
      </c>
      <c r="H136" s="6">
        <f t="shared" si="2"/>
        <v>0</v>
      </c>
      <c r="I136">
        <v>51.64</v>
      </c>
      <c r="J136" t="s">
        <v>23</v>
      </c>
      <c r="K136" t="s">
        <v>38</v>
      </c>
    </row>
    <row r="137" spans="1:11" x14ac:dyDescent="0.25">
      <c r="A137" s="8">
        <v>46079</v>
      </c>
      <c r="B137" s="9">
        <v>3.5416666666666666E-2</v>
      </c>
      <c r="C137" t="s">
        <v>184</v>
      </c>
      <c r="D137" t="s">
        <v>87</v>
      </c>
      <c r="E137">
        <v>753999</v>
      </c>
      <c r="F137">
        <v>834292</v>
      </c>
      <c r="G137" s="6">
        <v>51.79</v>
      </c>
      <c r="H137" s="6">
        <f t="shared" si="2"/>
        <v>0</v>
      </c>
      <c r="I137">
        <v>51.79</v>
      </c>
      <c r="J137" t="s">
        <v>22</v>
      </c>
      <c r="K137" t="s">
        <v>38</v>
      </c>
    </row>
    <row r="138" spans="1:11" x14ac:dyDescent="0.25">
      <c r="A138" s="8">
        <v>46079</v>
      </c>
      <c r="B138" s="9">
        <v>0.31111111111111112</v>
      </c>
      <c r="C138" t="s">
        <v>184</v>
      </c>
      <c r="D138" t="s">
        <v>87</v>
      </c>
      <c r="E138">
        <v>754046</v>
      </c>
      <c r="F138">
        <v>252142</v>
      </c>
      <c r="G138" s="6">
        <v>52.88</v>
      </c>
      <c r="H138" s="6">
        <f t="shared" si="2"/>
        <v>0</v>
      </c>
      <c r="I138">
        <v>52.88</v>
      </c>
      <c r="J138" t="s">
        <v>25</v>
      </c>
      <c r="K138" t="s">
        <v>38</v>
      </c>
    </row>
    <row r="139" spans="1:11" x14ac:dyDescent="0.25">
      <c r="A139" s="8">
        <v>46079</v>
      </c>
      <c r="B139" s="9">
        <v>0.5805555555555556</v>
      </c>
      <c r="C139" t="s">
        <v>184</v>
      </c>
      <c r="D139" t="s">
        <v>167</v>
      </c>
      <c r="E139">
        <v>610655</v>
      </c>
      <c r="F139">
        <v>801765</v>
      </c>
      <c r="G139" s="6">
        <v>53.44</v>
      </c>
      <c r="H139" s="6">
        <f t="shared" si="2"/>
        <v>0</v>
      </c>
      <c r="I139">
        <v>53.44</v>
      </c>
      <c r="J139" t="s">
        <v>26</v>
      </c>
      <c r="K139" t="s">
        <v>38</v>
      </c>
    </row>
    <row r="140" spans="1:11" x14ac:dyDescent="0.25">
      <c r="A140" s="8">
        <v>46079</v>
      </c>
      <c r="B140" s="9">
        <v>0.57847222222222228</v>
      </c>
      <c r="C140" t="s">
        <v>184</v>
      </c>
      <c r="D140" t="s">
        <v>87</v>
      </c>
      <c r="E140">
        <v>610652</v>
      </c>
      <c r="F140" t="s">
        <v>206</v>
      </c>
      <c r="G140" s="6">
        <v>54.34</v>
      </c>
      <c r="H140" s="6">
        <f t="shared" si="2"/>
        <v>0</v>
      </c>
      <c r="I140">
        <v>54.34</v>
      </c>
      <c r="J140" t="s">
        <v>26</v>
      </c>
      <c r="K140" t="s">
        <v>38</v>
      </c>
    </row>
    <row r="141" spans="1:11" x14ac:dyDescent="0.25">
      <c r="A141" s="8">
        <v>46079</v>
      </c>
      <c r="B141" s="9">
        <v>0.59722222222222221</v>
      </c>
      <c r="C141" t="s">
        <v>184</v>
      </c>
      <c r="D141" t="s">
        <v>167</v>
      </c>
      <c r="E141">
        <v>371147</v>
      </c>
      <c r="F141">
        <v>933327</v>
      </c>
      <c r="G141" s="6">
        <v>54.84</v>
      </c>
      <c r="H141" s="6">
        <f t="shared" si="2"/>
        <v>0</v>
      </c>
      <c r="I141">
        <v>54.84</v>
      </c>
      <c r="J141" t="s">
        <v>32</v>
      </c>
      <c r="K141" t="s">
        <v>38</v>
      </c>
    </row>
    <row r="142" spans="1:11" x14ac:dyDescent="0.25">
      <c r="A142" s="8">
        <v>46079</v>
      </c>
      <c r="B142" s="9">
        <v>0.85902777777777772</v>
      </c>
      <c r="C142" t="s">
        <v>184</v>
      </c>
      <c r="D142" t="s">
        <v>167</v>
      </c>
      <c r="E142">
        <v>374319</v>
      </c>
      <c r="F142">
        <v>38079</v>
      </c>
      <c r="G142" s="6">
        <v>55.53</v>
      </c>
      <c r="H142" s="6">
        <f t="shared" si="2"/>
        <v>0</v>
      </c>
      <c r="I142">
        <v>55.53</v>
      </c>
      <c r="J142" t="s">
        <v>30</v>
      </c>
      <c r="K142" t="s">
        <v>38</v>
      </c>
    </row>
    <row r="143" spans="1:11" x14ac:dyDescent="0.25">
      <c r="A143" s="8">
        <v>46079</v>
      </c>
      <c r="B143" s="9">
        <v>0.6743055555555556</v>
      </c>
      <c r="C143" t="s">
        <v>184</v>
      </c>
      <c r="D143" t="s">
        <v>87</v>
      </c>
      <c r="E143">
        <v>754159</v>
      </c>
      <c r="F143" t="s">
        <v>212</v>
      </c>
      <c r="G143" s="6">
        <v>55.92</v>
      </c>
      <c r="H143" s="6">
        <f t="shared" si="2"/>
        <v>0</v>
      </c>
      <c r="I143">
        <v>55.92</v>
      </c>
      <c r="J143" t="s">
        <v>23</v>
      </c>
      <c r="K143" t="s">
        <v>38</v>
      </c>
    </row>
    <row r="144" spans="1:11" x14ac:dyDescent="0.25">
      <c r="A144" s="8">
        <v>46079</v>
      </c>
      <c r="B144" s="9">
        <v>0.85069444444444442</v>
      </c>
      <c r="C144" t="s">
        <v>184</v>
      </c>
      <c r="D144" t="s">
        <v>87</v>
      </c>
      <c r="E144">
        <v>877747</v>
      </c>
      <c r="F144" t="s">
        <v>224</v>
      </c>
      <c r="G144" s="6">
        <v>56</v>
      </c>
      <c r="H144" s="6">
        <f t="shared" si="2"/>
        <v>0</v>
      </c>
      <c r="I144">
        <v>56</v>
      </c>
      <c r="J144" t="s">
        <v>29</v>
      </c>
      <c r="K144" t="s">
        <v>38</v>
      </c>
    </row>
    <row r="145" spans="1:11" x14ac:dyDescent="0.25">
      <c r="A145" s="8">
        <v>46079</v>
      </c>
      <c r="B145" s="9">
        <v>0.2673611111111111</v>
      </c>
      <c r="C145" t="s">
        <v>184</v>
      </c>
      <c r="D145" t="s">
        <v>87</v>
      </c>
      <c r="E145">
        <v>877534</v>
      </c>
      <c r="F145" t="s">
        <v>187</v>
      </c>
      <c r="G145" s="6">
        <v>57.03</v>
      </c>
      <c r="H145" s="6">
        <f t="shared" si="2"/>
        <v>0</v>
      </c>
      <c r="I145">
        <v>57.03</v>
      </c>
      <c r="J145" t="s">
        <v>23</v>
      </c>
      <c r="K145" t="s">
        <v>38</v>
      </c>
    </row>
    <row r="146" spans="1:11" x14ac:dyDescent="0.25">
      <c r="A146" s="8">
        <v>46079</v>
      </c>
      <c r="B146" s="9">
        <v>0.24166666666666667</v>
      </c>
      <c r="C146" t="s">
        <v>184</v>
      </c>
      <c r="D146" t="s">
        <v>167</v>
      </c>
      <c r="E146">
        <v>610480</v>
      </c>
      <c r="F146">
        <v>689861</v>
      </c>
      <c r="G146" s="6">
        <v>57.43</v>
      </c>
      <c r="H146" s="6">
        <f t="shared" si="2"/>
        <v>0</v>
      </c>
      <c r="I146">
        <v>57.43</v>
      </c>
      <c r="J146" t="s">
        <v>26</v>
      </c>
      <c r="K146" t="s">
        <v>38</v>
      </c>
    </row>
    <row r="147" spans="1:11" x14ac:dyDescent="0.25">
      <c r="A147" s="8">
        <v>46079</v>
      </c>
      <c r="B147" s="9">
        <v>0.61111111111111116</v>
      </c>
      <c r="C147" t="s">
        <v>184</v>
      </c>
      <c r="D147" t="s">
        <v>87</v>
      </c>
      <c r="E147">
        <v>374147</v>
      </c>
      <c r="F147">
        <v>401955</v>
      </c>
      <c r="G147" s="6">
        <v>57.43</v>
      </c>
      <c r="H147" s="6">
        <f t="shared" si="2"/>
        <v>0</v>
      </c>
      <c r="I147">
        <v>57.43</v>
      </c>
      <c r="J147" t="s">
        <v>30</v>
      </c>
      <c r="K147" t="s">
        <v>38</v>
      </c>
    </row>
    <row r="148" spans="1:11" x14ac:dyDescent="0.25">
      <c r="A148" s="8">
        <v>46079</v>
      </c>
      <c r="B148" s="9">
        <v>0.22013888888888888</v>
      </c>
      <c r="C148" t="s">
        <v>184</v>
      </c>
      <c r="D148" t="s">
        <v>167</v>
      </c>
      <c r="E148">
        <v>374155</v>
      </c>
      <c r="F148">
        <v>130109</v>
      </c>
      <c r="G148" s="6">
        <v>60.14</v>
      </c>
      <c r="H148" s="6">
        <f t="shared" si="2"/>
        <v>0</v>
      </c>
      <c r="I148">
        <v>60.14</v>
      </c>
      <c r="J148" t="s">
        <v>31</v>
      </c>
      <c r="K148" t="s">
        <v>38</v>
      </c>
    </row>
    <row r="149" spans="1:11" x14ac:dyDescent="0.25">
      <c r="A149" s="8">
        <v>46079</v>
      </c>
      <c r="B149" s="9">
        <v>0.56597222222222221</v>
      </c>
      <c r="C149" t="s">
        <v>184</v>
      </c>
      <c r="D149" t="s">
        <v>87</v>
      </c>
      <c r="E149">
        <v>371136</v>
      </c>
      <c r="F149" t="s">
        <v>202</v>
      </c>
      <c r="G149" s="6">
        <v>61.37</v>
      </c>
      <c r="H149" s="6">
        <f t="shared" si="2"/>
        <v>0</v>
      </c>
      <c r="I149">
        <v>61.37</v>
      </c>
      <c r="J149" t="s">
        <v>32</v>
      </c>
      <c r="K149" t="s">
        <v>38</v>
      </c>
    </row>
    <row r="150" spans="1:11" x14ac:dyDescent="0.25">
      <c r="A150" s="8">
        <v>46079</v>
      </c>
      <c r="B150" s="9">
        <v>0.65208333333333335</v>
      </c>
      <c r="C150" t="s">
        <v>184</v>
      </c>
      <c r="D150" t="s">
        <v>87</v>
      </c>
      <c r="E150">
        <v>610668</v>
      </c>
      <c r="F150" t="s">
        <v>208</v>
      </c>
      <c r="G150" s="6">
        <v>62.47</v>
      </c>
      <c r="H150" s="6">
        <f t="shared" si="2"/>
        <v>0</v>
      </c>
      <c r="I150">
        <v>62.47</v>
      </c>
      <c r="J150" t="s">
        <v>26</v>
      </c>
      <c r="K150" t="s">
        <v>38</v>
      </c>
    </row>
    <row r="151" spans="1:11" x14ac:dyDescent="0.25">
      <c r="A151" s="8">
        <v>46079</v>
      </c>
      <c r="B151" s="9">
        <v>0.55625000000000002</v>
      </c>
      <c r="C151" t="s">
        <v>184</v>
      </c>
      <c r="D151" t="s">
        <v>167</v>
      </c>
      <c r="E151">
        <v>86807</v>
      </c>
      <c r="F151">
        <v>727388</v>
      </c>
      <c r="G151" s="6">
        <v>63.07</v>
      </c>
      <c r="H151" s="6">
        <f t="shared" si="2"/>
        <v>0</v>
      </c>
      <c r="I151">
        <v>63.07</v>
      </c>
      <c r="J151" t="s">
        <v>24</v>
      </c>
      <c r="K151" t="s">
        <v>38</v>
      </c>
    </row>
    <row r="152" spans="1:11" x14ac:dyDescent="0.25">
      <c r="A152" s="8">
        <v>46079</v>
      </c>
      <c r="B152" s="9">
        <v>0.32708333333333334</v>
      </c>
      <c r="C152" t="s">
        <v>184</v>
      </c>
      <c r="D152" t="s">
        <v>167</v>
      </c>
      <c r="E152">
        <v>599803</v>
      </c>
      <c r="F152">
        <v>703753</v>
      </c>
      <c r="G152" s="6">
        <v>63.52</v>
      </c>
      <c r="H152" s="6">
        <f t="shared" si="2"/>
        <v>0</v>
      </c>
      <c r="I152">
        <v>63.52</v>
      </c>
      <c r="J152" t="s">
        <v>27</v>
      </c>
      <c r="K152" t="s">
        <v>38</v>
      </c>
    </row>
    <row r="153" spans="1:11" x14ac:dyDescent="0.25">
      <c r="A153" s="8">
        <v>46079</v>
      </c>
      <c r="B153" s="9">
        <v>0.4465277777777778</v>
      </c>
      <c r="C153" t="s">
        <v>184</v>
      </c>
      <c r="D153" t="s">
        <v>167</v>
      </c>
      <c r="E153">
        <v>86736</v>
      </c>
      <c r="F153">
        <v>491714</v>
      </c>
      <c r="G153" s="6">
        <v>64.5</v>
      </c>
      <c r="H153" s="6">
        <f t="shared" si="2"/>
        <v>0</v>
      </c>
      <c r="I153">
        <v>64.5</v>
      </c>
      <c r="J153" t="s">
        <v>24</v>
      </c>
      <c r="K153" t="s">
        <v>38</v>
      </c>
    </row>
    <row r="154" spans="1:11" x14ac:dyDescent="0.25">
      <c r="A154" s="8">
        <v>46079</v>
      </c>
      <c r="B154" s="9">
        <v>0.83958333333333335</v>
      </c>
      <c r="C154" t="s">
        <v>184</v>
      </c>
      <c r="D154" t="s">
        <v>87</v>
      </c>
      <c r="E154">
        <v>610767</v>
      </c>
      <c r="F154" t="s">
        <v>226</v>
      </c>
      <c r="G154" s="6">
        <v>64.5</v>
      </c>
      <c r="H154" s="6">
        <f t="shared" si="2"/>
        <v>0</v>
      </c>
      <c r="I154">
        <v>64.5</v>
      </c>
      <c r="J154" t="s">
        <v>28</v>
      </c>
      <c r="K154" t="s">
        <v>38</v>
      </c>
    </row>
    <row r="155" spans="1:11" x14ac:dyDescent="0.25">
      <c r="A155" s="8">
        <v>46079</v>
      </c>
      <c r="B155" s="9">
        <v>0.42638888888888887</v>
      </c>
      <c r="C155" t="s">
        <v>184</v>
      </c>
      <c r="D155" t="s">
        <v>87</v>
      </c>
      <c r="E155">
        <v>877647</v>
      </c>
      <c r="F155">
        <v>913126</v>
      </c>
      <c r="G155" s="6">
        <v>64.959999999999994</v>
      </c>
      <c r="H155" s="6">
        <f t="shared" si="2"/>
        <v>0</v>
      </c>
      <c r="I155">
        <v>64.959999999999994</v>
      </c>
      <c r="J155" t="s">
        <v>23</v>
      </c>
      <c r="K155" t="s">
        <v>38</v>
      </c>
    </row>
    <row r="156" spans="1:11" x14ac:dyDescent="0.25">
      <c r="A156" s="8">
        <v>46079</v>
      </c>
      <c r="B156" s="9">
        <v>0.88958333333333328</v>
      </c>
      <c r="C156" t="s">
        <v>184</v>
      </c>
      <c r="D156" t="s">
        <v>87</v>
      </c>
      <c r="E156">
        <v>877777</v>
      </c>
      <c r="F156" t="s">
        <v>229</v>
      </c>
      <c r="G156" s="6">
        <v>69.36</v>
      </c>
      <c r="H156" s="6">
        <f t="shared" si="2"/>
        <v>0</v>
      </c>
      <c r="I156">
        <v>69.36</v>
      </c>
      <c r="J156" t="s">
        <v>29</v>
      </c>
      <c r="K156" t="s">
        <v>38</v>
      </c>
    </row>
    <row r="157" spans="1:11" x14ac:dyDescent="0.25">
      <c r="A157" s="8">
        <v>46079</v>
      </c>
      <c r="B157" s="9">
        <v>0.41597222222222224</v>
      </c>
      <c r="C157" t="s">
        <v>184</v>
      </c>
      <c r="D157" t="s">
        <v>167</v>
      </c>
      <c r="E157">
        <v>754091</v>
      </c>
      <c r="F157">
        <v>280438</v>
      </c>
      <c r="G157" s="6">
        <v>79.040000000000006</v>
      </c>
      <c r="H157" s="6">
        <f t="shared" si="2"/>
        <v>0</v>
      </c>
      <c r="I157">
        <v>79.040000000000006</v>
      </c>
      <c r="J157" t="s">
        <v>25</v>
      </c>
      <c r="K157" t="s">
        <v>38</v>
      </c>
    </row>
    <row r="158" spans="1:11" x14ac:dyDescent="0.25">
      <c r="A158" s="8">
        <v>46079</v>
      </c>
      <c r="B158" s="9">
        <v>0.34305555555555556</v>
      </c>
      <c r="C158" t="s">
        <v>184</v>
      </c>
      <c r="D158" t="s">
        <v>167</v>
      </c>
      <c r="E158">
        <v>610536</v>
      </c>
      <c r="F158">
        <v>171644</v>
      </c>
      <c r="G158" s="6">
        <v>80</v>
      </c>
      <c r="H158" s="6">
        <f t="shared" si="2"/>
        <v>0</v>
      </c>
      <c r="I158">
        <v>80</v>
      </c>
      <c r="J158" t="s">
        <v>26</v>
      </c>
      <c r="K158" t="s">
        <v>45</v>
      </c>
    </row>
    <row r="159" spans="1:11" x14ac:dyDescent="0.25">
      <c r="A159" s="8">
        <v>46079</v>
      </c>
      <c r="B159" s="9">
        <v>0.87361111111111112</v>
      </c>
      <c r="C159" t="s">
        <v>184</v>
      </c>
      <c r="D159" t="s">
        <v>87</v>
      </c>
      <c r="E159">
        <v>610789</v>
      </c>
      <c r="F159" t="s">
        <v>231</v>
      </c>
      <c r="G159" s="6">
        <v>87.01</v>
      </c>
      <c r="H159" s="6">
        <f t="shared" si="2"/>
        <v>0</v>
      </c>
      <c r="I159">
        <v>87.01</v>
      </c>
      <c r="J159" t="s">
        <v>28</v>
      </c>
      <c r="K159" t="s">
        <v>38</v>
      </c>
    </row>
    <row r="160" spans="1:11" x14ac:dyDescent="0.25">
      <c r="A160" s="8">
        <v>46079</v>
      </c>
      <c r="B160" s="9">
        <v>0.37777777777777777</v>
      </c>
      <c r="C160" t="s">
        <v>184</v>
      </c>
      <c r="D160" t="s">
        <v>87</v>
      </c>
      <c r="E160">
        <v>371105</v>
      </c>
      <c r="F160" t="s">
        <v>193</v>
      </c>
      <c r="G160" s="6">
        <v>100</v>
      </c>
      <c r="H160" s="6">
        <f t="shared" si="2"/>
        <v>0</v>
      </c>
      <c r="I160">
        <v>100</v>
      </c>
      <c r="J160" t="s">
        <v>23</v>
      </c>
      <c r="K160" t="s">
        <v>38</v>
      </c>
    </row>
    <row r="161" spans="1:11" x14ac:dyDescent="0.25">
      <c r="A161" s="8">
        <v>46079</v>
      </c>
      <c r="B161" s="9">
        <v>0.47847222222222224</v>
      </c>
      <c r="C161" t="s">
        <v>184</v>
      </c>
      <c r="D161" t="s">
        <v>87</v>
      </c>
      <c r="E161">
        <v>610599</v>
      </c>
      <c r="F161">
        <v>293262</v>
      </c>
      <c r="G161" s="6">
        <v>100</v>
      </c>
      <c r="H161" s="6">
        <f t="shared" si="2"/>
        <v>0</v>
      </c>
      <c r="I161">
        <v>100</v>
      </c>
      <c r="J161" t="s">
        <v>24</v>
      </c>
      <c r="K161" t="s">
        <v>38</v>
      </c>
    </row>
    <row r="162" spans="1:11" x14ac:dyDescent="0.25">
      <c r="A162" s="8">
        <v>46079</v>
      </c>
      <c r="B162" s="9">
        <v>0.25555555555555554</v>
      </c>
      <c r="C162" t="s">
        <v>184</v>
      </c>
      <c r="D162" t="s">
        <v>167</v>
      </c>
      <c r="E162">
        <v>371037</v>
      </c>
      <c r="F162">
        <v>259802</v>
      </c>
      <c r="G162" s="6">
        <v>100</v>
      </c>
      <c r="H162" s="6">
        <f t="shared" si="2"/>
        <v>0</v>
      </c>
      <c r="I162">
        <v>100</v>
      </c>
      <c r="J162" t="s">
        <v>26</v>
      </c>
      <c r="K162" t="s">
        <v>38</v>
      </c>
    </row>
    <row r="163" spans="1:11" x14ac:dyDescent="0.25">
      <c r="A163" s="8">
        <v>46079</v>
      </c>
      <c r="B163" s="9">
        <v>0.55555555555555558</v>
      </c>
      <c r="C163" t="s">
        <v>184</v>
      </c>
      <c r="D163" t="s">
        <v>167</v>
      </c>
      <c r="E163">
        <v>754101</v>
      </c>
      <c r="F163">
        <v>650085</v>
      </c>
      <c r="G163" s="6">
        <v>100</v>
      </c>
      <c r="H163" s="6">
        <f t="shared" si="2"/>
        <v>0</v>
      </c>
      <c r="I163">
        <v>100</v>
      </c>
      <c r="J163" t="s">
        <v>30</v>
      </c>
      <c r="K163" t="s">
        <v>38</v>
      </c>
    </row>
    <row r="164" spans="1:11" x14ac:dyDescent="0.25">
      <c r="A164" s="8">
        <v>46079</v>
      </c>
      <c r="B164" s="9">
        <v>0.69305555555555554</v>
      </c>
      <c r="C164" t="s">
        <v>184</v>
      </c>
      <c r="D164" t="s">
        <v>87</v>
      </c>
      <c r="E164">
        <v>86850</v>
      </c>
      <c r="F164" t="s">
        <v>213</v>
      </c>
      <c r="G164" s="6">
        <v>100</v>
      </c>
      <c r="H164" s="6">
        <f t="shared" si="2"/>
        <v>0</v>
      </c>
      <c r="I164">
        <v>100</v>
      </c>
      <c r="J164" t="s">
        <v>32</v>
      </c>
      <c r="K164" t="s">
        <v>38</v>
      </c>
    </row>
    <row r="165" spans="1:11" x14ac:dyDescent="0.25">
      <c r="A165" s="8">
        <v>46079</v>
      </c>
      <c r="B165" s="9">
        <v>0.73819444444444449</v>
      </c>
      <c r="C165" t="s">
        <v>184</v>
      </c>
      <c r="D165" t="s">
        <v>167</v>
      </c>
      <c r="E165">
        <v>374226</v>
      </c>
      <c r="F165">
        <v>191062</v>
      </c>
      <c r="G165" s="6">
        <v>100</v>
      </c>
      <c r="H165" s="6">
        <f t="shared" si="2"/>
        <v>0</v>
      </c>
      <c r="I165">
        <v>100</v>
      </c>
      <c r="J165" t="s">
        <v>32</v>
      </c>
      <c r="K165" t="s">
        <v>38</v>
      </c>
    </row>
    <row r="166" spans="1:11" x14ac:dyDescent="0.25">
      <c r="A166" s="8">
        <v>46079</v>
      </c>
      <c r="B166" s="9">
        <v>0.6645833333333333</v>
      </c>
      <c r="C166" t="s">
        <v>184</v>
      </c>
      <c r="D166" t="s">
        <v>167</v>
      </c>
      <c r="E166">
        <v>754154</v>
      </c>
      <c r="F166">
        <v>250264</v>
      </c>
      <c r="G166" s="6">
        <v>109.52</v>
      </c>
      <c r="H166" s="6">
        <f t="shared" si="2"/>
        <v>109.52</v>
      </c>
    </row>
    <row r="167" spans="1:11" x14ac:dyDescent="0.25">
      <c r="A167" s="8">
        <v>46079</v>
      </c>
      <c r="B167" s="9">
        <v>0.4597222222222222</v>
      </c>
      <c r="C167" t="s">
        <v>184</v>
      </c>
      <c r="D167" t="s">
        <v>87</v>
      </c>
      <c r="E167">
        <v>86744</v>
      </c>
      <c r="F167" t="s">
        <v>185</v>
      </c>
      <c r="G167" s="6">
        <v>120</v>
      </c>
      <c r="H167" s="6">
        <f t="shared" si="2"/>
        <v>0</v>
      </c>
      <c r="I167">
        <v>120</v>
      </c>
      <c r="J167" t="s">
        <v>24</v>
      </c>
      <c r="K167" t="s">
        <v>38</v>
      </c>
    </row>
    <row r="168" spans="1:11" x14ac:dyDescent="0.25">
      <c r="A168" s="8">
        <v>46079</v>
      </c>
      <c r="B168" s="9">
        <v>0.54374999999999996</v>
      </c>
      <c r="C168" t="s">
        <v>184</v>
      </c>
      <c r="D168" t="s">
        <v>87</v>
      </c>
      <c r="E168">
        <v>610641</v>
      </c>
      <c r="F168" t="s">
        <v>205</v>
      </c>
      <c r="G168" s="6">
        <v>144.71</v>
      </c>
      <c r="H168" s="6">
        <f t="shared" si="2"/>
        <v>0</v>
      </c>
      <c r="I168">
        <v>144.71</v>
      </c>
      <c r="J168" t="s">
        <v>26</v>
      </c>
      <c r="K168" t="s">
        <v>38</v>
      </c>
    </row>
    <row r="169" spans="1:11" x14ac:dyDescent="0.25">
      <c r="A169" s="8">
        <v>46079</v>
      </c>
      <c r="B169" s="9">
        <v>3.4722222222222224E-2</v>
      </c>
      <c r="C169" t="s">
        <v>184</v>
      </c>
      <c r="D169" t="s">
        <v>167</v>
      </c>
      <c r="E169">
        <v>374096</v>
      </c>
      <c r="F169">
        <v>170071</v>
      </c>
      <c r="G169" s="6">
        <v>150</v>
      </c>
      <c r="H169" s="6">
        <f t="shared" si="2"/>
        <v>0</v>
      </c>
      <c r="I169">
        <v>150</v>
      </c>
      <c r="J169" t="s">
        <v>27</v>
      </c>
      <c r="K169" t="s">
        <v>38</v>
      </c>
    </row>
    <row r="170" spans="1:11" x14ac:dyDescent="0.25">
      <c r="A170" s="8">
        <v>46079</v>
      </c>
      <c r="B170" s="9">
        <v>0.6118055555555556</v>
      </c>
      <c r="C170" t="s">
        <v>184</v>
      </c>
      <c r="D170" t="s">
        <v>167</v>
      </c>
      <c r="E170">
        <v>599916</v>
      </c>
      <c r="F170">
        <v>469821</v>
      </c>
      <c r="G170" s="6">
        <v>150</v>
      </c>
      <c r="H170" s="6">
        <f t="shared" si="2"/>
        <v>0</v>
      </c>
      <c r="I170">
        <v>150</v>
      </c>
      <c r="J170" t="s">
        <v>31</v>
      </c>
      <c r="K170" t="s">
        <v>38</v>
      </c>
    </row>
    <row r="171" spans="1:11" x14ac:dyDescent="0.25">
      <c r="A171" s="8">
        <v>46079</v>
      </c>
      <c r="B171" s="9">
        <v>8.4722222222222227E-2</v>
      </c>
      <c r="C171" t="s">
        <v>184</v>
      </c>
      <c r="D171" t="s">
        <v>167</v>
      </c>
      <c r="E171">
        <v>754012</v>
      </c>
      <c r="F171">
        <v>965303</v>
      </c>
      <c r="G171" s="6">
        <v>155.97</v>
      </c>
      <c r="H171" s="6">
        <f t="shared" si="2"/>
        <v>0</v>
      </c>
      <c r="I171">
        <v>155.97</v>
      </c>
      <c r="J171" t="s">
        <v>22</v>
      </c>
      <c r="K171" t="s">
        <v>38</v>
      </c>
    </row>
    <row r="172" spans="1:11" x14ac:dyDescent="0.25">
      <c r="A172" s="8">
        <v>46079</v>
      </c>
      <c r="B172" s="9">
        <v>0.41597222222222224</v>
      </c>
      <c r="C172" t="s">
        <v>184</v>
      </c>
      <c r="D172" t="s">
        <v>87</v>
      </c>
      <c r="E172">
        <v>371111</v>
      </c>
      <c r="F172">
        <v>595872</v>
      </c>
      <c r="G172" s="6">
        <v>200</v>
      </c>
      <c r="H172" s="6">
        <f t="shared" si="2"/>
        <v>0</v>
      </c>
      <c r="I172">
        <v>200</v>
      </c>
      <c r="J172" t="s">
        <v>32</v>
      </c>
      <c r="K172" t="s">
        <v>38</v>
      </c>
    </row>
    <row r="173" spans="1:11" x14ac:dyDescent="0.25">
      <c r="A173" s="8">
        <v>46079</v>
      </c>
      <c r="B173" s="9">
        <v>0.8125</v>
      </c>
      <c r="C173" t="s">
        <v>184</v>
      </c>
      <c r="D173" t="s">
        <v>167</v>
      </c>
      <c r="E173">
        <v>86913</v>
      </c>
      <c r="F173" t="s">
        <v>227</v>
      </c>
      <c r="G173" s="6">
        <v>204.41</v>
      </c>
      <c r="H173" s="6">
        <f t="shared" si="2"/>
        <v>0</v>
      </c>
      <c r="I173">
        <v>204.41</v>
      </c>
      <c r="J173" t="s">
        <v>24</v>
      </c>
      <c r="K173" t="s">
        <v>38</v>
      </c>
    </row>
    <row r="174" spans="1:11" x14ac:dyDescent="0.25">
      <c r="A174" s="8">
        <v>46079</v>
      </c>
      <c r="B174" s="9">
        <v>0.75763888888888886</v>
      </c>
      <c r="C174" t="s">
        <v>184</v>
      </c>
      <c r="D174" t="s">
        <v>167</v>
      </c>
      <c r="E174">
        <v>374216</v>
      </c>
      <c r="F174">
        <v>821852</v>
      </c>
      <c r="G174" s="6">
        <v>223.3</v>
      </c>
      <c r="H174" s="6">
        <f t="shared" si="2"/>
        <v>0</v>
      </c>
      <c r="I174">
        <v>223.3</v>
      </c>
      <c r="J174" t="s">
        <v>30</v>
      </c>
      <c r="K174" t="s">
        <v>38</v>
      </c>
    </row>
  </sheetData>
  <autoFilter ref="A1:K174" xr:uid="{13297369-329F-41D0-9490-CA6DB63B80E8}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27C43-79BC-426B-A342-5FB579B430D2}">
  <dimension ref="A1:K122"/>
  <sheetViews>
    <sheetView workbookViewId="0">
      <selection activeCell="L16" sqref="L16"/>
    </sheetView>
  </sheetViews>
  <sheetFormatPr defaultRowHeight="15" x14ac:dyDescent="0.25"/>
  <sheetData>
    <row r="1" spans="1:11" x14ac:dyDescent="0.25">
      <c r="A1" t="s">
        <v>78</v>
      </c>
      <c r="B1" t="s">
        <v>79</v>
      </c>
      <c r="C1" t="s">
        <v>82</v>
      </c>
      <c r="D1" t="s">
        <v>81</v>
      </c>
      <c r="E1" t="s">
        <v>88</v>
      </c>
      <c r="F1" t="s">
        <v>64</v>
      </c>
      <c r="G1" t="s">
        <v>84</v>
      </c>
      <c r="I1" t="s">
        <v>57</v>
      </c>
      <c r="J1" t="s">
        <v>1</v>
      </c>
      <c r="K1" t="s">
        <v>33</v>
      </c>
    </row>
    <row r="2" spans="1:11" x14ac:dyDescent="0.25">
      <c r="A2" s="8">
        <v>46079</v>
      </c>
      <c r="B2" s="9">
        <v>0.60763888888888884</v>
      </c>
      <c r="C2" t="s">
        <v>184</v>
      </c>
      <c r="D2" t="s">
        <v>236</v>
      </c>
      <c r="E2">
        <v>754135</v>
      </c>
      <c r="F2">
        <v>444308</v>
      </c>
      <c r="G2" s="6">
        <v>6.2</v>
      </c>
      <c r="H2" s="6">
        <f>G2-I2</f>
        <v>0</v>
      </c>
      <c r="I2">
        <v>6.2</v>
      </c>
      <c r="J2" t="s">
        <v>23</v>
      </c>
      <c r="K2" t="s">
        <v>39</v>
      </c>
    </row>
    <row r="3" spans="1:11" x14ac:dyDescent="0.25">
      <c r="A3" s="8">
        <v>46079</v>
      </c>
      <c r="B3" s="9">
        <v>0.26805555555555555</v>
      </c>
      <c r="C3" t="s">
        <v>184</v>
      </c>
      <c r="D3" t="s">
        <v>236</v>
      </c>
      <c r="E3">
        <v>754028</v>
      </c>
      <c r="F3" t="s">
        <v>260</v>
      </c>
      <c r="G3" s="6">
        <v>10</v>
      </c>
      <c r="H3" s="6">
        <f t="shared" ref="H3:H66" si="0">G3-I3</f>
        <v>0</v>
      </c>
      <c r="I3">
        <v>10</v>
      </c>
      <c r="J3" t="s">
        <v>25</v>
      </c>
      <c r="K3" t="s">
        <v>39</v>
      </c>
    </row>
    <row r="4" spans="1:11" x14ac:dyDescent="0.25">
      <c r="A4" s="8">
        <v>46079</v>
      </c>
      <c r="B4" s="9">
        <v>0.58194444444444449</v>
      </c>
      <c r="C4" t="s">
        <v>184</v>
      </c>
      <c r="D4" t="s">
        <v>236</v>
      </c>
      <c r="E4">
        <v>86822</v>
      </c>
      <c r="F4">
        <v>583269</v>
      </c>
      <c r="G4" s="6">
        <v>12.72</v>
      </c>
      <c r="H4" s="6">
        <f t="shared" si="0"/>
        <v>0</v>
      </c>
      <c r="I4">
        <v>12.72</v>
      </c>
      <c r="J4" t="s">
        <v>24</v>
      </c>
      <c r="K4" t="s">
        <v>39</v>
      </c>
    </row>
    <row r="5" spans="1:11" x14ac:dyDescent="0.25">
      <c r="A5" s="8">
        <v>46079</v>
      </c>
      <c r="B5" s="9">
        <v>0.24166666666666667</v>
      </c>
      <c r="C5" t="s">
        <v>184</v>
      </c>
      <c r="D5" t="s">
        <v>236</v>
      </c>
      <c r="E5">
        <v>754016</v>
      </c>
      <c r="F5">
        <v>313420</v>
      </c>
      <c r="G5" s="6">
        <v>15</v>
      </c>
      <c r="H5" s="6">
        <f t="shared" si="0"/>
        <v>0</v>
      </c>
      <c r="I5">
        <v>15</v>
      </c>
      <c r="J5" t="s">
        <v>25</v>
      </c>
      <c r="K5" t="s">
        <v>46</v>
      </c>
    </row>
    <row r="6" spans="1:11" x14ac:dyDescent="0.25">
      <c r="A6" s="8">
        <v>46079</v>
      </c>
      <c r="B6" s="9">
        <v>0.82430555555555551</v>
      </c>
      <c r="C6" t="s">
        <v>184</v>
      </c>
      <c r="D6" t="s">
        <v>249</v>
      </c>
      <c r="E6">
        <v>610753</v>
      </c>
      <c r="F6" t="s">
        <v>250</v>
      </c>
      <c r="G6" s="6">
        <v>17</v>
      </c>
      <c r="H6" s="6">
        <f t="shared" si="0"/>
        <v>0</v>
      </c>
      <c r="I6">
        <v>17</v>
      </c>
      <c r="J6" t="s">
        <v>28</v>
      </c>
      <c r="K6" t="s">
        <v>46</v>
      </c>
    </row>
    <row r="7" spans="1:11" x14ac:dyDescent="0.25">
      <c r="A7" s="8">
        <v>46079</v>
      </c>
      <c r="B7" s="9">
        <v>0.73055555555555551</v>
      </c>
      <c r="C7" t="s">
        <v>184</v>
      </c>
      <c r="D7" t="s">
        <v>236</v>
      </c>
      <c r="E7">
        <v>374222</v>
      </c>
      <c r="F7">
        <v>337964</v>
      </c>
      <c r="G7" s="6">
        <v>17.73</v>
      </c>
      <c r="H7" s="6">
        <f t="shared" si="0"/>
        <v>0</v>
      </c>
      <c r="I7">
        <v>17.73</v>
      </c>
      <c r="J7" t="s">
        <v>23</v>
      </c>
      <c r="K7" t="s">
        <v>39</v>
      </c>
    </row>
    <row r="8" spans="1:11" x14ac:dyDescent="0.25">
      <c r="A8" s="8">
        <v>46079</v>
      </c>
      <c r="B8" s="9">
        <v>0.88124999999999998</v>
      </c>
      <c r="C8" t="s">
        <v>184</v>
      </c>
      <c r="D8" t="s">
        <v>236</v>
      </c>
      <c r="E8">
        <v>86962</v>
      </c>
      <c r="F8" t="s">
        <v>252</v>
      </c>
      <c r="G8" s="6">
        <v>20</v>
      </c>
      <c r="H8" s="6">
        <f t="shared" si="0"/>
        <v>0</v>
      </c>
      <c r="I8">
        <v>20</v>
      </c>
      <c r="J8" t="s">
        <v>24</v>
      </c>
      <c r="K8" t="s">
        <v>39</v>
      </c>
    </row>
    <row r="9" spans="1:11" x14ac:dyDescent="0.25">
      <c r="A9" s="8">
        <v>46079</v>
      </c>
      <c r="B9" s="9">
        <v>0.26111111111111113</v>
      </c>
      <c r="C9" t="s">
        <v>184</v>
      </c>
      <c r="D9" t="s">
        <v>236</v>
      </c>
      <c r="E9">
        <v>610491</v>
      </c>
      <c r="F9">
        <v>92514</v>
      </c>
      <c r="G9" s="6">
        <v>20</v>
      </c>
      <c r="H9" s="6">
        <f t="shared" si="0"/>
        <v>0</v>
      </c>
      <c r="I9">
        <v>20</v>
      </c>
      <c r="J9" t="s">
        <v>26</v>
      </c>
      <c r="K9" t="s">
        <v>39</v>
      </c>
    </row>
    <row r="10" spans="1:11" x14ac:dyDescent="0.25">
      <c r="A10" s="8">
        <v>46079</v>
      </c>
      <c r="B10" s="9">
        <v>0.32291666666666669</v>
      </c>
      <c r="C10" t="s">
        <v>184</v>
      </c>
      <c r="D10" t="s">
        <v>236</v>
      </c>
      <c r="E10">
        <v>610529</v>
      </c>
      <c r="F10" t="s">
        <v>256</v>
      </c>
      <c r="G10" s="6">
        <v>20</v>
      </c>
      <c r="H10" s="6">
        <f t="shared" si="0"/>
        <v>0</v>
      </c>
      <c r="I10">
        <v>20</v>
      </c>
      <c r="J10" t="s">
        <v>26</v>
      </c>
      <c r="K10" t="s">
        <v>39</v>
      </c>
    </row>
    <row r="11" spans="1:11" x14ac:dyDescent="0.25">
      <c r="A11" s="8">
        <v>46079</v>
      </c>
      <c r="B11" s="9">
        <v>0.34375</v>
      </c>
      <c r="C11" t="s">
        <v>184</v>
      </c>
      <c r="D11" t="s">
        <v>236</v>
      </c>
      <c r="E11">
        <v>610538</v>
      </c>
      <c r="F11">
        <v>32877</v>
      </c>
      <c r="G11" s="6">
        <v>20</v>
      </c>
      <c r="H11" s="6">
        <f t="shared" si="0"/>
        <v>20</v>
      </c>
    </row>
    <row r="12" spans="1:11" x14ac:dyDescent="0.25">
      <c r="A12" s="8">
        <v>46079</v>
      </c>
      <c r="B12" s="9">
        <v>0.55972222222222223</v>
      </c>
      <c r="C12" t="s">
        <v>184</v>
      </c>
      <c r="D12" t="s">
        <v>236</v>
      </c>
      <c r="E12">
        <v>86811</v>
      </c>
      <c r="F12">
        <v>69494</v>
      </c>
      <c r="G12" s="6">
        <v>21.5</v>
      </c>
      <c r="H12" s="6">
        <f t="shared" si="0"/>
        <v>0</v>
      </c>
      <c r="I12">
        <v>21.5</v>
      </c>
      <c r="J12" t="s">
        <v>24</v>
      </c>
      <c r="K12" t="s">
        <v>39</v>
      </c>
    </row>
    <row r="13" spans="1:11" x14ac:dyDescent="0.25">
      <c r="A13" s="8">
        <v>46079</v>
      </c>
      <c r="B13" s="9">
        <v>0.52638888888888891</v>
      </c>
      <c r="C13" t="s">
        <v>184</v>
      </c>
      <c r="D13" t="s">
        <v>236</v>
      </c>
      <c r="E13">
        <v>610627</v>
      </c>
      <c r="F13" t="s">
        <v>264</v>
      </c>
      <c r="G13" s="6">
        <v>22.2</v>
      </c>
      <c r="H13" s="6">
        <f t="shared" si="0"/>
        <v>0</v>
      </c>
      <c r="I13">
        <v>22.2</v>
      </c>
      <c r="J13" t="s">
        <v>26</v>
      </c>
      <c r="K13" t="s">
        <v>39</v>
      </c>
    </row>
    <row r="14" spans="1:11" x14ac:dyDescent="0.25">
      <c r="A14" s="8">
        <v>46079</v>
      </c>
      <c r="B14" s="9">
        <v>0.42499999999999999</v>
      </c>
      <c r="C14" t="s">
        <v>184</v>
      </c>
      <c r="D14" t="s">
        <v>236</v>
      </c>
      <c r="E14">
        <v>877643</v>
      </c>
      <c r="F14">
        <v>97004</v>
      </c>
      <c r="G14" s="6">
        <v>23.91</v>
      </c>
      <c r="H14" s="6">
        <f t="shared" si="0"/>
        <v>0</v>
      </c>
      <c r="I14">
        <v>23.91</v>
      </c>
      <c r="J14" t="s">
        <v>23</v>
      </c>
      <c r="K14" t="s">
        <v>39</v>
      </c>
    </row>
    <row r="15" spans="1:11" x14ac:dyDescent="0.25">
      <c r="A15" s="8">
        <v>46079</v>
      </c>
      <c r="B15" s="9">
        <v>0.40694444444444444</v>
      </c>
      <c r="C15" t="s">
        <v>184</v>
      </c>
      <c r="D15" t="s">
        <v>236</v>
      </c>
      <c r="E15">
        <v>877632</v>
      </c>
      <c r="F15" t="s">
        <v>254</v>
      </c>
      <c r="G15" s="6">
        <v>24.15</v>
      </c>
      <c r="H15" s="6">
        <f t="shared" si="0"/>
        <v>0</v>
      </c>
      <c r="I15">
        <v>24.15</v>
      </c>
      <c r="J15" t="s">
        <v>23</v>
      </c>
      <c r="K15" t="s">
        <v>39</v>
      </c>
    </row>
    <row r="16" spans="1:11" x14ac:dyDescent="0.25">
      <c r="A16" s="8">
        <v>46079</v>
      </c>
      <c r="B16" s="9">
        <v>0.24236111111111111</v>
      </c>
      <c r="C16" t="s">
        <v>184</v>
      </c>
      <c r="D16" t="s">
        <v>236</v>
      </c>
      <c r="E16">
        <v>373930</v>
      </c>
      <c r="F16">
        <v>73579</v>
      </c>
      <c r="G16" s="6">
        <v>25</v>
      </c>
      <c r="H16" s="6">
        <f t="shared" si="0"/>
        <v>0</v>
      </c>
      <c r="I16">
        <v>25</v>
      </c>
      <c r="J16" t="s">
        <v>22</v>
      </c>
      <c r="K16" t="s">
        <v>39</v>
      </c>
    </row>
    <row r="17" spans="1:11" x14ac:dyDescent="0.25">
      <c r="A17" s="8">
        <v>46079</v>
      </c>
      <c r="B17" s="9">
        <v>0.39166666666666666</v>
      </c>
      <c r="C17" t="s">
        <v>184</v>
      </c>
      <c r="D17" t="s">
        <v>236</v>
      </c>
      <c r="E17">
        <v>877618</v>
      </c>
      <c r="F17">
        <v>793092</v>
      </c>
      <c r="G17" s="6">
        <v>27.44</v>
      </c>
      <c r="H17" s="6">
        <f t="shared" si="0"/>
        <v>0</v>
      </c>
      <c r="I17">
        <v>27.44</v>
      </c>
      <c r="J17" t="s">
        <v>23</v>
      </c>
      <c r="K17" t="s">
        <v>39</v>
      </c>
    </row>
    <row r="18" spans="1:11" x14ac:dyDescent="0.25">
      <c r="A18" s="8">
        <v>46079</v>
      </c>
      <c r="B18" s="9">
        <v>0.34236111111111112</v>
      </c>
      <c r="C18" t="s">
        <v>184</v>
      </c>
      <c r="D18" t="s">
        <v>236</v>
      </c>
      <c r="E18">
        <v>877587</v>
      </c>
      <c r="F18">
        <v>26137</v>
      </c>
      <c r="G18" s="6">
        <v>29.14</v>
      </c>
      <c r="H18" s="6">
        <f t="shared" si="0"/>
        <v>0</v>
      </c>
      <c r="I18">
        <v>29.14</v>
      </c>
      <c r="J18" t="s">
        <v>23</v>
      </c>
      <c r="K18" t="s">
        <v>46</v>
      </c>
    </row>
    <row r="19" spans="1:11" x14ac:dyDescent="0.25">
      <c r="A19" s="8">
        <v>46079</v>
      </c>
      <c r="B19" s="9">
        <v>0.24791666666666667</v>
      </c>
      <c r="C19" t="s">
        <v>184</v>
      </c>
      <c r="D19" t="s">
        <v>236</v>
      </c>
      <c r="E19">
        <v>754018</v>
      </c>
      <c r="F19">
        <v>652283</v>
      </c>
      <c r="G19" s="6">
        <v>29.45</v>
      </c>
      <c r="H19" s="6">
        <f t="shared" si="0"/>
        <v>0</v>
      </c>
      <c r="I19">
        <v>29.45</v>
      </c>
      <c r="J19" t="s">
        <v>25</v>
      </c>
      <c r="K19" t="s">
        <v>39</v>
      </c>
    </row>
    <row r="20" spans="1:11" x14ac:dyDescent="0.25">
      <c r="A20" s="8">
        <v>46079</v>
      </c>
      <c r="B20" s="9">
        <v>0.69791666666666663</v>
      </c>
      <c r="C20" t="s">
        <v>184</v>
      </c>
      <c r="D20" t="s">
        <v>236</v>
      </c>
      <c r="E20">
        <v>86854</v>
      </c>
      <c r="F20">
        <v>2618</v>
      </c>
      <c r="G20" s="6">
        <v>30</v>
      </c>
      <c r="H20" s="6">
        <f t="shared" si="0"/>
        <v>0</v>
      </c>
      <c r="I20">
        <v>30</v>
      </c>
      <c r="J20" t="s">
        <v>23</v>
      </c>
      <c r="K20" t="s">
        <v>39</v>
      </c>
    </row>
    <row r="21" spans="1:11" x14ac:dyDescent="0.25">
      <c r="A21" s="8">
        <v>46079</v>
      </c>
      <c r="B21" s="9">
        <v>0.77916666666666667</v>
      </c>
      <c r="C21" t="s">
        <v>184</v>
      </c>
      <c r="D21" t="s">
        <v>236</v>
      </c>
      <c r="E21">
        <v>374257</v>
      </c>
      <c r="F21">
        <v>90366</v>
      </c>
      <c r="G21" s="6">
        <v>30</v>
      </c>
      <c r="H21" s="6">
        <f t="shared" si="0"/>
        <v>0</v>
      </c>
      <c r="I21">
        <v>30</v>
      </c>
      <c r="J21" t="s">
        <v>23</v>
      </c>
      <c r="K21" t="s">
        <v>39</v>
      </c>
    </row>
    <row r="22" spans="1:11" x14ac:dyDescent="0.25">
      <c r="A22" s="8">
        <v>46079</v>
      </c>
      <c r="B22" s="9">
        <v>0.85624999999999996</v>
      </c>
      <c r="C22" t="s">
        <v>184</v>
      </c>
      <c r="D22" t="s">
        <v>236</v>
      </c>
      <c r="E22">
        <v>86948</v>
      </c>
      <c r="F22">
        <v>695651</v>
      </c>
      <c r="G22" s="6">
        <v>30</v>
      </c>
      <c r="H22" s="6">
        <f t="shared" si="0"/>
        <v>0</v>
      </c>
      <c r="I22">
        <v>30</v>
      </c>
      <c r="J22" t="s">
        <v>23</v>
      </c>
      <c r="K22" t="s">
        <v>39</v>
      </c>
    </row>
    <row r="23" spans="1:11" x14ac:dyDescent="0.25">
      <c r="A23" s="8">
        <v>46079</v>
      </c>
      <c r="B23" s="9">
        <v>0.86944444444444446</v>
      </c>
      <c r="C23" t="s">
        <v>184</v>
      </c>
      <c r="D23" t="s">
        <v>236</v>
      </c>
      <c r="E23">
        <v>86958</v>
      </c>
      <c r="F23" t="s">
        <v>251</v>
      </c>
      <c r="G23" s="6">
        <v>30</v>
      </c>
      <c r="H23" s="6">
        <f t="shared" si="0"/>
        <v>0</v>
      </c>
      <c r="I23">
        <v>30</v>
      </c>
      <c r="J23" t="s">
        <v>24</v>
      </c>
      <c r="K23" t="s">
        <v>39</v>
      </c>
    </row>
    <row r="24" spans="1:11" x14ac:dyDescent="0.25">
      <c r="A24" s="8">
        <v>46079</v>
      </c>
      <c r="B24" s="9">
        <v>0.82847222222222228</v>
      </c>
      <c r="C24" t="s">
        <v>184</v>
      </c>
      <c r="D24" t="s">
        <v>236</v>
      </c>
      <c r="E24">
        <v>374227</v>
      </c>
      <c r="F24">
        <v>53908</v>
      </c>
      <c r="G24" s="6">
        <v>30</v>
      </c>
      <c r="H24" s="6">
        <f t="shared" si="0"/>
        <v>0</v>
      </c>
      <c r="I24">
        <v>30</v>
      </c>
      <c r="J24" t="s">
        <v>24</v>
      </c>
      <c r="K24" t="s">
        <v>39</v>
      </c>
    </row>
    <row r="25" spans="1:11" x14ac:dyDescent="0.25">
      <c r="A25" s="8">
        <v>46079</v>
      </c>
      <c r="B25" s="9">
        <v>0.32569444444444445</v>
      </c>
      <c r="C25" t="s">
        <v>184</v>
      </c>
      <c r="D25" t="s">
        <v>236</v>
      </c>
      <c r="E25">
        <v>877573</v>
      </c>
      <c r="F25">
        <v>513247</v>
      </c>
      <c r="G25" s="6">
        <v>30</v>
      </c>
      <c r="H25" s="6">
        <f t="shared" si="0"/>
        <v>0</v>
      </c>
      <c r="I25">
        <v>30</v>
      </c>
      <c r="J25" t="s">
        <v>24</v>
      </c>
      <c r="K25" t="s">
        <v>39</v>
      </c>
    </row>
    <row r="26" spans="1:11" x14ac:dyDescent="0.25">
      <c r="A26" s="8">
        <v>46079</v>
      </c>
      <c r="B26" s="9">
        <v>0.34305555555555556</v>
      </c>
      <c r="C26" t="s">
        <v>184</v>
      </c>
      <c r="D26" t="s">
        <v>236</v>
      </c>
      <c r="E26">
        <v>877589</v>
      </c>
      <c r="F26">
        <v>921274</v>
      </c>
      <c r="G26" s="6">
        <v>30</v>
      </c>
      <c r="H26" s="6">
        <f t="shared" si="0"/>
        <v>0</v>
      </c>
      <c r="I26">
        <v>30</v>
      </c>
      <c r="J26" t="s">
        <v>24</v>
      </c>
      <c r="K26" t="s">
        <v>39</v>
      </c>
    </row>
    <row r="27" spans="1:11" x14ac:dyDescent="0.25">
      <c r="A27" s="8">
        <v>46079</v>
      </c>
      <c r="B27" s="9">
        <v>0.46527777777777779</v>
      </c>
      <c r="C27" t="s">
        <v>184</v>
      </c>
      <c r="D27" t="s">
        <v>236</v>
      </c>
      <c r="E27">
        <v>877673</v>
      </c>
      <c r="F27">
        <v>39437</v>
      </c>
      <c r="G27" s="6">
        <v>30</v>
      </c>
      <c r="H27" s="6">
        <f t="shared" si="0"/>
        <v>0</v>
      </c>
      <c r="I27">
        <v>30</v>
      </c>
      <c r="J27" t="s">
        <v>26</v>
      </c>
      <c r="K27" t="s">
        <v>39</v>
      </c>
    </row>
    <row r="28" spans="1:11" x14ac:dyDescent="0.25">
      <c r="A28" s="8">
        <v>46079</v>
      </c>
      <c r="B28" s="9">
        <v>0.3</v>
      </c>
      <c r="C28" t="s">
        <v>184</v>
      </c>
      <c r="D28" t="s">
        <v>236</v>
      </c>
      <c r="E28">
        <v>610516</v>
      </c>
      <c r="F28">
        <v>227726</v>
      </c>
      <c r="G28" s="6">
        <v>30</v>
      </c>
      <c r="H28" s="6">
        <f t="shared" si="0"/>
        <v>0</v>
      </c>
      <c r="I28">
        <v>30</v>
      </c>
      <c r="J28" t="s">
        <v>27</v>
      </c>
      <c r="K28" t="s">
        <v>46</v>
      </c>
    </row>
    <row r="29" spans="1:11" x14ac:dyDescent="0.25">
      <c r="A29" s="8">
        <v>46079</v>
      </c>
      <c r="B29" s="9">
        <v>0.56388888888888888</v>
      </c>
      <c r="C29" t="s">
        <v>184</v>
      </c>
      <c r="D29" t="s">
        <v>236</v>
      </c>
      <c r="E29">
        <v>371133</v>
      </c>
      <c r="F29">
        <v>81988</v>
      </c>
      <c r="G29" s="6">
        <v>30</v>
      </c>
      <c r="H29" s="6">
        <f t="shared" si="0"/>
        <v>0</v>
      </c>
      <c r="I29">
        <v>30</v>
      </c>
      <c r="J29" t="s">
        <v>30</v>
      </c>
      <c r="K29" t="s">
        <v>39</v>
      </c>
    </row>
    <row r="30" spans="1:11" x14ac:dyDescent="0.25">
      <c r="A30" s="8">
        <v>46079</v>
      </c>
      <c r="B30" s="9">
        <v>0.59930555555555554</v>
      </c>
      <c r="C30" t="s">
        <v>184</v>
      </c>
      <c r="D30" t="s">
        <v>236</v>
      </c>
      <c r="E30">
        <v>754129</v>
      </c>
      <c r="F30">
        <v>231260</v>
      </c>
      <c r="G30" s="6">
        <v>30</v>
      </c>
      <c r="H30" s="6">
        <f t="shared" si="0"/>
        <v>0</v>
      </c>
      <c r="I30">
        <v>30</v>
      </c>
      <c r="J30" t="s">
        <v>32</v>
      </c>
      <c r="K30" t="s">
        <v>39</v>
      </c>
    </row>
    <row r="31" spans="1:11" x14ac:dyDescent="0.25">
      <c r="A31" s="8">
        <v>46079</v>
      </c>
      <c r="B31" s="9">
        <v>0.53472222222222221</v>
      </c>
      <c r="C31" t="s">
        <v>184</v>
      </c>
      <c r="D31" t="s">
        <v>236</v>
      </c>
      <c r="E31">
        <v>86790</v>
      </c>
      <c r="F31">
        <v>87058</v>
      </c>
      <c r="G31" s="6">
        <v>31.83</v>
      </c>
      <c r="H31" s="6">
        <f t="shared" si="0"/>
        <v>0</v>
      </c>
      <c r="I31">
        <v>31.83</v>
      </c>
      <c r="J31" t="s">
        <v>24</v>
      </c>
      <c r="K31" t="s">
        <v>39</v>
      </c>
    </row>
    <row r="32" spans="1:11" x14ac:dyDescent="0.25">
      <c r="A32" s="8">
        <v>46079</v>
      </c>
      <c r="B32" s="9">
        <v>0.95277777777777772</v>
      </c>
      <c r="C32" t="s">
        <v>184</v>
      </c>
      <c r="D32" t="s">
        <v>236</v>
      </c>
      <c r="E32">
        <v>374387</v>
      </c>
      <c r="F32">
        <v>445131</v>
      </c>
      <c r="G32" s="6">
        <v>31.97</v>
      </c>
      <c r="H32" s="6">
        <f t="shared" si="0"/>
        <v>0</v>
      </c>
      <c r="I32">
        <v>31.97</v>
      </c>
      <c r="J32" t="s">
        <v>30</v>
      </c>
      <c r="K32" t="s">
        <v>39</v>
      </c>
    </row>
    <row r="33" spans="1:11" x14ac:dyDescent="0.25">
      <c r="A33" s="8">
        <v>46079</v>
      </c>
      <c r="B33" s="9">
        <v>0.77013888888888893</v>
      </c>
      <c r="C33" t="s">
        <v>184</v>
      </c>
      <c r="D33" t="s">
        <v>236</v>
      </c>
      <c r="E33">
        <v>877714</v>
      </c>
      <c r="F33">
        <v>82340</v>
      </c>
      <c r="G33" s="6">
        <v>32.03</v>
      </c>
      <c r="H33" s="6">
        <f t="shared" si="0"/>
        <v>0</v>
      </c>
      <c r="I33">
        <v>32.03</v>
      </c>
      <c r="J33" t="s">
        <v>27</v>
      </c>
      <c r="K33" t="s">
        <v>46</v>
      </c>
    </row>
    <row r="34" spans="1:11" x14ac:dyDescent="0.25">
      <c r="A34" s="8">
        <v>46079</v>
      </c>
      <c r="B34" s="9">
        <v>0.35</v>
      </c>
      <c r="C34" t="s">
        <v>184</v>
      </c>
      <c r="D34" t="s">
        <v>236</v>
      </c>
      <c r="E34">
        <v>754066</v>
      </c>
      <c r="F34">
        <v>91654</v>
      </c>
      <c r="G34" s="6">
        <v>32.03</v>
      </c>
      <c r="H34" s="6">
        <f t="shared" si="0"/>
        <v>0</v>
      </c>
      <c r="I34">
        <v>32.03</v>
      </c>
      <c r="J34" t="s">
        <v>29</v>
      </c>
      <c r="K34" t="s">
        <v>39</v>
      </c>
    </row>
    <row r="35" spans="1:11" x14ac:dyDescent="0.25">
      <c r="A35" s="8">
        <v>46079</v>
      </c>
      <c r="B35" s="9">
        <v>0.59583333333333333</v>
      </c>
      <c r="C35" t="s">
        <v>184</v>
      </c>
      <c r="D35" t="s">
        <v>236</v>
      </c>
      <c r="E35">
        <v>869514</v>
      </c>
      <c r="F35">
        <v>790666</v>
      </c>
      <c r="G35" s="6">
        <v>32.25</v>
      </c>
      <c r="H35" s="6">
        <f t="shared" si="0"/>
        <v>0</v>
      </c>
      <c r="I35">
        <v>32.25</v>
      </c>
      <c r="J35" t="s">
        <v>25</v>
      </c>
      <c r="K35" t="s">
        <v>39</v>
      </c>
    </row>
    <row r="36" spans="1:11" x14ac:dyDescent="0.25">
      <c r="A36" s="8">
        <v>46079</v>
      </c>
      <c r="B36" s="9">
        <v>0.61805555555555558</v>
      </c>
      <c r="C36" t="s">
        <v>184</v>
      </c>
      <c r="D36" t="s">
        <v>236</v>
      </c>
      <c r="E36">
        <v>610663</v>
      </c>
      <c r="F36">
        <v>51511</v>
      </c>
      <c r="G36" s="6">
        <v>32.68</v>
      </c>
      <c r="H36" s="6">
        <f t="shared" si="0"/>
        <v>0</v>
      </c>
      <c r="I36">
        <v>32.68</v>
      </c>
      <c r="J36" t="s">
        <v>26</v>
      </c>
      <c r="K36" t="s">
        <v>39</v>
      </c>
    </row>
    <row r="37" spans="1:11" x14ac:dyDescent="0.25">
      <c r="A37" s="8">
        <v>46079</v>
      </c>
      <c r="B37" s="9">
        <v>0.59861111111111109</v>
      </c>
      <c r="C37" t="s">
        <v>184</v>
      </c>
      <c r="D37" t="s">
        <v>236</v>
      </c>
      <c r="E37">
        <v>371151</v>
      </c>
      <c r="F37">
        <v>488279</v>
      </c>
      <c r="G37" s="6">
        <v>33.33</v>
      </c>
      <c r="H37" s="6">
        <f t="shared" si="0"/>
        <v>0</v>
      </c>
      <c r="I37">
        <v>33.33</v>
      </c>
      <c r="J37" t="s">
        <v>32</v>
      </c>
      <c r="K37" t="s">
        <v>39</v>
      </c>
    </row>
    <row r="38" spans="1:11" x14ac:dyDescent="0.25">
      <c r="A38" s="8">
        <v>46079</v>
      </c>
      <c r="B38" s="9">
        <v>0.75902777777777775</v>
      </c>
      <c r="C38" t="s">
        <v>184</v>
      </c>
      <c r="D38" t="s">
        <v>236</v>
      </c>
      <c r="E38">
        <v>877707</v>
      </c>
      <c r="F38">
        <v>110415</v>
      </c>
      <c r="G38" s="6">
        <v>33.43</v>
      </c>
      <c r="H38" s="6">
        <f t="shared" si="0"/>
        <v>0</v>
      </c>
      <c r="I38">
        <v>33.43</v>
      </c>
      <c r="J38" t="s">
        <v>29</v>
      </c>
      <c r="K38" t="s">
        <v>39</v>
      </c>
    </row>
    <row r="39" spans="1:11" x14ac:dyDescent="0.25">
      <c r="A39" s="8">
        <v>46079</v>
      </c>
      <c r="B39" s="9">
        <v>0.46041666666666664</v>
      </c>
      <c r="C39" t="s">
        <v>184</v>
      </c>
      <c r="D39" t="s">
        <v>236</v>
      </c>
      <c r="E39">
        <v>599850</v>
      </c>
      <c r="F39">
        <v>3485</v>
      </c>
      <c r="G39" s="6">
        <v>33.83</v>
      </c>
      <c r="H39" s="6">
        <f t="shared" si="0"/>
        <v>0</v>
      </c>
      <c r="I39">
        <v>33.83</v>
      </c>
      <c r="J39" t="s">
        <v>27</v>
      </c>
      <c r="K39" t="s">
        <v>39</v>
      </c>
    </row>
    <row r="40" spans="1:11" x14ac:dyDescent="0.25">
      <c r="A40" s="8">
        <v>46079</v>
      </c>
      <c r="B40" s="9">
        <v>0.34166666666666667</v>
      </c>
      <c r="C40" t="s">
        <v>184</v>
      </c>
      <c r="D40" t="s">
        <v>236</v>
      </c>
      <c r="E40">
        <v>877585</v>
      </c>
      <c r="F40">
        <v>122457</v>
      </c>
      <c r="G40" s="6">
        <v>35.82</v>
      </c>
      <c r="H40" s="6">
        <f t="shared" si="0"/>
        <v>0</v>
      </c>
      <c r="I40">
        <v>35.82</v>
      </c>
      <c r="J40" t="s">
        <v>23</v>
      </c>
      <c r="K40" t="s">
        <v>46</v>
      </c>
    </row>
    <row r="41" spans="1:11" x14ac:dyDescent="0.25">
      <c r="A41" s="8">
        <v>46079</v>
      </c>
      <c r="B41" s="9">
        <v>0.68611111111111112</v>
      </c>
      <c r="C41" t="s">
        <v>184</v>
      </c>
      <c r="D41" t="s">
        <v>236</v>
      </c>
      <c r="E41">
        <v>86844</v>
      </c>
      <c r="F41">
        <v>135494</v>
      </c>
      <c r="G41" s="6">
        <v>36.72</v>
      </c>
      <c r="H41" s="6">
        <f t="shared" si="0"/>
        <v>0</v>
      </c>
      <c r="I41">
        <v>36.72</v>
      </c>
      <c r="J41" t="s">
        <v>24</v>
      </c>
      <c r="K41" t="s">
        <v>39</v>
      </c>
    </row>
    <row r="42" spans="1:11" x14ac:dyDescent="0.25">
      <c r="A42" s="8">
        <v>46079</v>
      </c>
      <c r="B42" s="9">
        <v>0.95694444444444449</v>
      </c>
      <c r="C42" t="s">
        <v>184</v>
      </c>
      <c r="D42" t="s">
        <v>236</v>
      </c>
      <c r="E42">
        <v>374389</v>
      </c>
      <c r="F42">
        <v>631784</v>
      </c>
      <c r="G42" s="6">
        <v>36.92</v>
      </c>
      <c r="H42" s="6">
        <f t="shared" si="0"/>
        <v>0</v>
      </c>
      <c r="I42">
        <v>36.92</v>
      </c>
      <c r="J42" t="s">
        <v>30</v>
      </c>
      <c r="K42" t="s">
        <v>39</v>
      </c>
    </row>
    <row r="43" spans="1:11" x14ac:dyDescent="0.25">
      <c r="A43" s="8">
        <v>46079</v>
      </c>
      <c r="B43" s="9">
        <v>0.83263888888888893</v>
      </c>
      <c r="C43" t="s">
        <v>184</v>
      </c>
      <c r="D43" t="s">
        <v>236</v>
      </c>
      <c r="E43">
        <v>374303</v>
      </c>
      <c r="F43">
        <v>810881</v>
      </c>
      <c r="G43" s="6">
        <v>38.47</v>
      </c>
      <c r="H43" s="6">
        <f t="shared" si="0"/>
        <v>0</v>
      </c>
      <c r="I43">
        <v>38.47</v>
      </c>
      <c r="J43" t="s">
        <v>30</v>
      </c>
      <c r="K43" t="s">
        <v>39</v>
      </c>
    </row>
    <row r="44" spans="1:11" x14ac:dyDescent="0.25">
      <c r="A44" s="8">
        <v>46079</v>
      </c>
      <c r="B44" s="9">
        <v>0.77013888888888893</v>
      </c>
      <c r="C44" t="s">
        <v>184</v>
      </c>
      <c r="D44" t="s">
        <v>236</v>
      </c>
      <c r="E44">
        <v>610717</v>
      </c>
      <c r="F44">
        <v>639069</v>
      </c>
      <c r="G44" s="6">
        <v>39.28</v>
      </c>
      <c r="H44" s="6">
        <f t="shared" si="0"/>
        <v>0</v>
      </c>
      <c r="I44">
        <v>39.28</v>
      </c>
      <c r="J44" t="s">
        <v>28</v>
      </c>
      <c r="K44" t="s">
        <v>39</v>
      </c>
    </row>
    <row r="45" spans="1:11" x14ac:dyDescent="0.25">
      <c r="A45" s="8">
        <v>46079</v>
      </c>
      <c r="B45" s="9">
        <v>0.70138888888888884</v>
      </c>
      <c r="C45" t="s">
        <v>184</v>
      </c>
      <c r="D45" t="s">
        <v>236</v>
      </c>
      <c r="E45">
        <v>371189</v>
      </c>
      <c r="F45">
        <v>985608</v>
      </c>
      <c r="G45" s="6">
        <v>39.57</v>
      </c>
      <c r="H45" s="6">
        <f t="shared" si="0"/>
        <v>0</v>
      </c>
      <c r="I45">
        <v>39.57</v>
      </c>
      <c r="J45" t="s">
        <v>32</v>
      </c>
      <c r="K45" t="s">
        <v>39</v>
      </c>
    </row>
    <row r="46" spans="1:11" x14ac:dyDescent="0.25">
      <c r="A46" s="8">
        <v>46079</v>
      </c>
      <c r="B46" s="9">
        <v>0.15277777777777779</v>
      </c>
      <c r="C46" t="s">
        <v>184</v>
      </c>
      <c r="D46" t="s">
        <v>236</v>
      </c>
      <c r="E46">
        <v>374129</v>
      </c>
      <c r="F46">
        <v>831424</v>
      </c>
      <c r="G46" s="6">
        <v>39.65</v>
      </c>
      <c r="H46" s="6">
        <f t="shared" si="0"/>
        <v>0</v>
      </c>
      <c r="I46">
        <v>39.65</v>
      </c>
      <c r="J46" t="s">
        <v>22</v>
      </c>
      <c r="K46" t="s">
        <v>39</v>
      </c>
    </row>
    <row r="47" spans="1:11" x14ac:dyDescent="0.25">
      <c r="A47" s="8">
        <v>46079</v>
      </c>
      <c r="B47" s="9">
        <v>4.6527777777777779E-2</v>
      </c>
      <c r="C47" t="s">
        <v>184</v>
      </c>
      <c r="D47" t="s">
        <v>236</v>
      </c>
      <c r="E47">
        <v>374102</v>
      </c>
      <c r="F47">
        <v>526156</v>
      </c>
      <c r="G47" s="6">
        <v>39.74</v>
      </c>
      <c r="H47" s="6">
        <f t="shared" si="0"/>
        <v>0</v>
      </c>
      <c r="I47">
        <v>39.74</v>
      </c>
      <c r="J47" t="s">
        <v>31</v>
      </c>
      <c r="K47" t="s">
        <v>39</v>
      </c>
    </row>
    <row r="48" spans="1:11" x14ac:dyDescent="0.25">
      <c r="A48" s="8">
        <v>46079</v>
      </c>
      <c r="B48" s="9">
        <v>0.76736111111111116</v>
      </c>
      <c r="C48" t="s">
        <v>184</v>
      </c>
      <c r="D48" t="s">
        <v>236</v>
      </c>
      <c r="E48">
        <v>877711</v>
      </c>
      <c r="F48">
        <v>870278</v>
      </c>
      <c r="G48" s="6">
        <v>39.89</v>
      </c>
      <c r="H48" s="6">
        <f t="shared" si="0"/>
        <v>0</v>
      </c>
      <c r="I48">
        <v>39.89</v>
      </c>
      <c r="J48" t="s">
        <v>29</v>
      </c>
      <c r="K48" t="s">
        <v>39</v>
      </c>
    </row>
    <row r="49" spans="1:11" x14ac:dyDescent="0.25">
      <c r="A49" s="8">
        <v>46079</v>
      </c>
      <c r="B49" s="9">
        <v>0.66041666666666665</v>
      </c>
      <c r="C49" t="s">
        <v>184</v>
      </c>
      <c r="D49" t="s">
        <v>236</v>
      </c>
      <c r="E49">
        <v>374187</v>
      </c>
      <c r="F49" t="s">
        <v>263</v>
      </c>
      <c r="G49" s="6">
        <v>40</v>
      </c>
      <c r="H49" s="6">
        <f t="shared" si="0"/>
        <v>0</v>
      </c>
      <c r="I49">
        <v>40</v>
      </c>
      <c r="J49" t="s">
        <v>26</v>
      </c>
      <c r="K49" t="s">
        <v>39</v>
      </c>
    </row>
    <row r="50" spans="1:11" x14ac:dyDescent="0.25">
      <c r="A50" s="8">
        <v>46079</v>
      </c>
      <c r="B50" s="9">
        <v>0.67986111111111114</v>
      </c>
      <c r="C50" t="s">
        <v>184</v>
      </c>
      <c r="D50" t="s">
        <v>236</v>
      </c>
      <c r="E50">
        <v>610685</v>
      </c>
      <c r="F50" t="s">
        <v>265</v>
      </c>
      <c r="G50" s="6">
        <v>40</v>
      </c>
      <c r="H50" s="6">
        <f t="shared" si="0"/>
        <v>0</v>
      </c>
      <c r="I50">
        <v>40</v>
      </c>
      <c r="J50" t="s">
        <v>30</v>
      </c>
      <c r="K50" t="s">
        <v>39</v>
      </c>
    </row>
    <row r="51" spans="1:11" x14ac:dyDescent="0.25">
      <c r="A51" s="8">
        <v>46079</v>
      </c>
      <c r="B51" s="9">
        <v>0.29444444444444445</v>
      </c>
      <c r="C51" t="s">
        <v>184</v>
      </c>
      <c r="D51" t="s">
        <v>236</v>
      </c>
      <c r="E51">
        <v>599791</v>
      </c>
      <c r="F51" t="s">
        <v>258</v>
      </c>
      <c r="G51" s="6">
        <v>43.26</v>
      </c>
      <c r="H51" s="6">
        <f t="shared" si="0"/>
        <v>0</v>
      </c>
      <c r="I51">
        <v>43.26</v>
      </c>
      <c r="J51" t="s">
        <v>27</v>
      </c>
      <c r="K51" t="s">
        <v>39</v>
      </c>
    </row>
    <row r="52" spans="1:11" x14ac:dyDescent="0.25">
      <c r="A52" s="8">
        <v>46079</v>
      </c>
      <c r="B52" s="9">
        <v>0.69722222222222219</v>
      </c>
      <c r="C52" t="s">
        <v>184</v>
      </c>
      <c r="D52" t="s">
        <v>236</v>
      </c>
      <c r="E52">
        <v>610696</v>
      </c>
      <c r="F52">
        <v>21255</v>
      </c>
      <c r="G52" s="6">
        <v>43.47</v>
      </c>
      <c r="H52" s="6">
        <f t="shared" si="0"/>
        <v>0</v>
      </c>
      <c r="I52">
        <v>43.47</v>
      </c>
      <c r="J52" t="s">
        <v>26</v>
      </c>
      <c r="K52" t="s">
        <v>39</v>
      </c>
    </row>
    <row r="53" spans="1:11" x14ac:dyDescent="0.25">
      <c r="A53" s="8">
        <v>46079</v>
      </c>
      <c r="B53" s="9">
        <v>0.33541666666666664</v>
      </c>
      <c r="C53" t="s">
        <v>184</v>
      </c>
      <c r="D53" t="s">
        <v>236</v>
      </c>
      <c r="E53">
        <v>610534</v>
      </c>
      <c r="F53">
        <v>84176</v>
      </c>
      <c r="G53" s="6">
        <v>45</v>
      </c>
      <c r="H53" s="6">
        <f t="shared" si="0"/>
        <v>0</v>
      </c>
      <c r="I53">
        <v>45</v>
      </c>
      <c r="J53" t="s">
        <v>26</v>
      </c>
      <c r="K53" t="s">
        <v>46</v>
      </c>
    </row>
    <row r="54" spans="1:11" x14ac:dyDescent="0.25">
      <c r="A54" s="8">
        <v>46079</v>
      </c>
      <c r="B54" s="9">
        <v>0.50555555555555554</v>
      </c>
      <c r="C54" t="s">
        <v>184</v>
      </c>
      <c r="D54" t="s">
        <v>236</v>
      </c>
      <c r="E54">
        <v>877693</v>
      </c>
      <c r="F54">
        <v>941047</v>
      </c>
      <c r="G54" s="6">
        <v>45.15</v>
      </c>
      <c r="H54" s="6">
        <f t="shared" si="0"/>
        <v>0</v>
      </c>
      <c r="I54">
        <v>45.15</v>
      </c>
      <c r="J54" t="s">
        <v>23</v>
      </c>
      <c r="K54" t="s">
        <v>39</v>
      </c>
    </row>
    <row r="55" spans="1:11" x14ac:dyDescent="0.25">
      <c r="A55" s="8">
        <v>46079</v>
      </c>
      <c r="B55" s="9">
        <v>0.62361111111111112</v>
      </c>
      <c r="C55" t="s">
        <v>184</v>
      </c>
      <c r="D55" t="s">
        <v>236</v>
      </c>
      <c r="E55">
        <v>374154</v>
      </c>
      <c r="F55">
        <v>73297</v>
      </c>
      <c r="G55" s="6">
        <v>47.3</v>
      </c>
      <c r="H55" s="6">
        <f t="shared" si="0"/>
        <v>0</v>
      </c>
      <c r="I55">
        <v>47.3</v>
      </c>
      <c r="J55" t="s">
        <v>30</v>
      </c>
      <c r="K55" t="s">
        <v>39</v>
      </c>
    </row>
    <row r="56" spans="1:11" x14ac:dyDescent="0.25">
      <c r="A56" s="8">
        <v>46079</v>
      </c>
      <c r="B56" s="9">
        <v>0.28472222222222221</v>
      </c>
      <c r="C56" t="s">
        <v>184</v>
      </c>
      <c r="D56" t="s">
        <v>236</v>
      </c>
      <c r="E56">
        <v>599786</v>
      </c>
      <c r="F56">
        <v>883426</v>
      </c>
      <c r="G56" s="6">
        <v>48.45</v>
      </c>
      <c r="H56" s="6">
        <f t="shared" si="0"/>
        <v>0</v>
      </c>
      <c r="I56">
        <v>48.45</v>
      </c>
      <c r="J56" t="s">
        <v>27</v>
      </c>
      <c r="K56" t="s">
        <v>39</v>
      </c>
    </row>
    <row r="57" spans="1:11" x14ac:dyDescent="0.25">
      <c r="A57" s="8">
        <v>46079</v>
      </c>
      <c r="B57" s="9">
        <v>0.25347222222222221</v>
      </c>
      <c r="C57" t="s">
        <v>184</v>
      </c>
      <c r="D57" t="s">
        <v>236</v>
      </c>
      <c r="E57">
        <v>599761</v>
      </c>
      <c r="F57">
        <v>279987</v>
      </c>
      <c r="G57" s="6">
        <v>48.51</v>
      </c>
      <c r="H57" s="6">
        <f t="shared" si="0"/>
        <v>0</v>
      </c>
      <c r="I57">
        <v>48.51</v>
      </c>
      <c r="J57" t="s">
        <v>27</v>
      </c>
      <c r="K57" t="s">
        <v>39</v>
      </c>
    </row>
    <row r="58" spans="1:11" x14ac:dyDescent="0.25">
      <c r="A58" s="8">
        <v>46079</v>
      </c>
      <c r="B58" s="9">
        <v>0.57499999999999996</v>
      </c>
      <c r="C58" t="s">
        <v>184</v>
      </c>
      <c r="D58" t="s">
        <v>236</v>
      </c>
      <c r="E58">
        <v>610649</v>
      </c>
      <c r="F58">
        <v>52822</v>
      </c>
      <c r="G58" s="6">
        <v>48.64</v>
      </c>
      <c r="H58" s="6">
        <f t="shared" si="0"/>
        <v>0</v>
      </c>
      <c r="I58">
        <v>48.64</v>
      </c>
      <c r="J58" t="s">
        <v>26</v>
      </c>
      <c r="K58" t="s">
        <v>39</v>
      </c>
    </row>
    <row r="59" spans="1:11" x14ac:dyDescent="0.25">
      <c r="A59" s="8">
        <v>46079</v>
      </c>
      <c r="B59" s="9">
        <v>0.3923611111111111</v>
      </c>
      <c r="C59" t="s">
        <v>184</v>
      </c>
      <c r="D59" t="s">
        <v>236</v>
      </c>
      <c r="E59">
        <v>754079</v>
      </c>
      <c r="F59">
        <v>923805</v>
      </c>
      <c r="G59" s="6">
        <v>48.7</v>
      </c>
      <c r="H59" s="6">
        <f t="shared" si="0"/>
        <v>0</v>
      </c>
      <c r="I59">
        <v>48.7</v>
      </c>
      <c r="J59" t="s">
        <v>25</v>
      </c>
      <c r="K59" t="s">
        <v>39</v>
      </c>
    </row>
    <row r="60" spans="1:11" x14ac:dyDescent="0.25">
      <c r="A60" s="8">
        <v>46079</v>
      </c>
      <c r="B60" s="9">
        <v>0.7416666666666667</v>
      </c>
      <c r="C60" t="s">
        <v>184</v>
      </c>
      <c r="D60" t="s">
        <v>236</v>
      </c>
      <c r="E60">
        <v>371198</v>
      </c>
      <c r="F60">
        <v>47879</v>
      </c>
      <c r="G60" s="6">
        <v>48.75</v>
      </c>
      <c r="H60" s="6">
        <f t="shared" si="0"/>
        <v>0</v>
      </c>
      <c r="I60">
        <v>48.75</v>
      </c>
      <c r="J60" t="s">
        <v>32</v>
      </c>
      <c r="K60" t="s">
        <v>39</v>
      </c>
    </row>
    <row r="61" spans="1:11" x14ac:dyDescent="0.25">
      <c r="A61" s="8">
        <v>46079</v>
      </c>
      <c r="B61" s="9">
        <v>0.3034722222222222</v>
      </c>
      <c r="C61" t="s">
        <v>184</v>
      </c>
      <c r="D61" t="s">
        <v>236</v>
      </c>
      <c r="E61">
        <v>877550</v>
      </c>
      <c r="F61">
        <v>95825</v>
      </c>
      <c r="G61" s="6">
        <v>49.05</v>
      </c>
      <c r="H61" s="6">
        <f t="shared" si="0"/>
        <v>0</v>
      </c>
      <c r="I61">
        <v>49.05</v>
      </c>
      <c r="J61" t="s">
        <v>23</v>
      </c>
      <c r="K61" t="s">
        <v>39</v>
      </c>
    </row>
    <row r="62" spans="1:11" x14ac:dyDescent="0.25">
      <c r="A62" s="8">
        <v>46079</v>
      </c>
      <c r="B62" s="9">
        <v>0.58194444444444449</v>
      </c>
      <c r="C62" t="s">
        <v>184</v>
      </c>
      <c r="D62" t="s">
        <v>236</v>
      </c>
      <c r="E62">
        <v>754117</v>
      </c>
      <c r="F62">
        <v>15469</v>
      </c>
      <c r="G62" s="6">
        <v>49.47</v>
      </c>
      <c r="H62" s="6">
        <f t="shared" si="0"/>
        <v>0</v>
      </c>
      <c r="I62">
        <v>49.47</v>
      </c>
      <c r="J62" t="s">
        <v>23</v>
      </c>
      <c r="K62" t="s">
        <v>39</v>
      </c>
    </row>
    <row r="63" spans="1:11" x14ac:dyDescent="0.25">
      <c r="A63" s="8">
        <v>46079</v>
      </c>
      <c r="B63" s="9">
        <v>0.52083333333333337</v>
      </c>
      <c r="C63" t="s">
        <v>184</v>
      </c>
      <c r="D63" t="s">
        <v>236</v>
      </c>
      <c r="E63">
        <v>610623</v>
      </c>
      <c r="F63">
        <v>19190</v>
      </c>
      <c r="G63" s="6">
        <v>49.99</v>
      </c>
      <c r="H63" s="6">
        <f t="shared" si="0"/>
        <v>0</v>
      </c>
      <c r="I63">
        <v>49.99</v>
      </c>
      <c r="J63" t="s">
        <v>26</v>
      </c>
      <c r="K63" t="s">
        <v>39</v>
      </c>
    </row>
    <row r="64" spans="1:11" x14ac:dyDescent="0.25">
      <c r="A64" s="8">
        <v>46079</v>
      </c>
      <c r="B64" s="9">
        <v>0.73819444444444449</v>
      </c>
      <c r="C64" t="s">
        <v>184</v>
      </c>
      <c r="D64" t="s">
        <v>236</v>
      </c>
      <c r="E64">
        <v>86880</v>
      </c>
      <c r="F64" t="s">
        <v>246</v>
      </c>
      <c r="G64" s="6">
        <v>50</v>
      </c>
      <c r="H64" s="6">
        <f t="shared" si="0"/>
        <v>0</v>
      </c>
      <c r="I64">
        <v>50</v>
      </c>
      <c r="J64" t="s">
        <v>23</v>
      </c>
      <c r="K64" t="s">
        <v>39</v>
      </c>
    </row>
    <row r="65" spans="1:11" x14ac:dyDescent="0.25">
      <c r="A65" s="8">
        <v>46079</v>
      </c>
      <c r="B65" s="9">
        <v>0.78888888888888886</v>
      </c>
      <c r="C65" t="s">
        <v>184</v>
      </c>
      <c r="D65" t="s">
        <v>236</v>
      </c>
      <c r="E65">
        <v>86901</v>
      </c>
      <c r="F65" t="s">
        <v>247</v>
      </c>
      <c r="G65" s="6">
        <v>50</v>
      </c>
      <c r="H65" s="6">
        <f t="shared" si="0"/>
        <v>0</v>
      </c>
      <c r="I65">
        <v>50</v>
      </c>
      <c r="J65" t="s">
        <v>23</v>
      </c>
      <c r="K65" t="s">
        <v>39</v>
      </c>
    </row>
    <row r="66" spans="1:11" x14ac:dyDescent="0.25">
      <c r="A66" s="8">
        <v>46079</v>
      </c>
      <c r="B66" s="9">
        <v>0.69930555555555551</v>
      </c>
      <c r="C66" t="s">
        <v>184</v>
      </c>
      <c r="D66" t="s">
        <v>236</v>
      </c>
      <c r="E66">
        <v>754175</v>
      </c>
      <c r="F66">
        <v>911655</v>
      </c>
      <c r="G66" s="6">
        <v>50</v>
      </c>
      <c r="H66" s="6">
        <f t="shared" si="0"/>
        <v>0</v>
      </c>
      <c r="I66">
        <v>50</v>
      </c>
      <c r="J66" t="s">
        <v>24</v>
      </c>
      <c r="K66" t="s">
        <v>39</v>
      </c>
    </row>
    <row r="67" spans="1:11" x14ac:dyDescent="0.25">
      <c r="A67" s="8">
        <v>46079</v>
      </c>
      <c r="B67" s="9">
        <v>0.83194444444444449</v>
      </c>
      <c r="C67" t="s">
        <v>184</v>
      </c>
      <c r="D67" t="s">
        <v>236</v>
      </c>
      <c r="E67">
        <v>86932</v>
      </c>
      <c r="F67">
        <v>41149</v>
      </c>
      <c r="G67" s="6">
        <v>50</v>
      </c>
      <c r="H67" s="6">
        <f t="shared" ref="H67:H122" si="1">G67-I67</f>
        <v>0</v>
      </c>
      <c r="I67">
        <v>50</v>
      </c>
      <c r="J67" t="s">
        <v>24</v>
      </c>
      <c r="K67" t="s">
        <v>39</v>
      </c>
    </row>
    <row r="68" spans="1:11" x14ac:dyDescent="0.25">
      <c r="A68" s="8">
        <v>46079</v>
      </c>
      <c r="B68" s="9">
        <v>0.85624999999999996</v>
      </c>
      <c r="C68" t="s">
        <v>184</v>
      </c>
      <c r="D68" t="s">
        <v>236</v>
      </c>
      <c r="E68">
        <v>610773</v>
      </c>
      <c r="F68">
        <v>355162</v>
      </c>
      <c r="G68" s="6">
        <v>50</v>
      </c>
      <c r="H68" s="6">
        <f t="shared" si="1"/>
        <v>0</v>
      </c>
      <c r="I68">
        <v>50</v>
      </c>
      <c r="J68" t="s">
        <v>24</v>
      </c>
      <c r="K68" t="s">
        <v>39</v>
      </c>
    </row>
    <row r="69" spans="1:11" x14ac:dyDescent="0.25">
      <c r="A69" s="8">
        <v>46079</v>
      </c>
      <c r="B69" s="9">
        <v>0.85902777777777772</v>
      </c>
      <c r="C69" t="s">
        <v>184</v>
      </c>
      <c r="D69" t="s">
        <v>236</v>
      </c>
      <c r="E69">
        <v>610779</v>
      </c>
      <c r="F69">
        <v>359008</v>
      </c>
      <c r="G69" s="6">
        <v>50</v>
      </c>
      <c r="H69" s="6">
        <f t="shared" si="1"/>
        <v>0</v>
      </c>
      <c r="I69">
        <v>50</v>
      </c>
      <c r="J69" t="s">
        <v>26</v>
      </c>
      <c r="K69" t="s">
        <v>46</v>
      </c>
    </row>
    <row r="70" spans="1:11" x14ac:dyDescent="0.25">
      <c r="A70" s="8">
        <v>46079</v>
      </c>
      <c r="B70" s="9">
        <v>0.93402777777777779</v>
      </c>
      <c r="C70" t="s">
        <v>184</v>
      </c>
      <c r="D70" t="s">
        <v>249</v>
      </c>
      <c r="E70">
        <v>877793</v>
      </c>
      <c r="F70">
        <v>783528</v>
      </c>
      <c r="G70" s="6">
        <v>50</v>
      </c>
      <c r="H70" s="6">
        <f t="shared" si="1"/>
        <v>0</v>
      </c>
      <c r="I70">
        <v>50</v>
      </c>
      <c r="J70" t="s">
        <v>26</v>
      </c>
      <c r="K70" t="s">
        <v>46</v>
      </c>
    </row>
    <row r="71" spans="1:11" x14ac:dyDescent="0.25">
      <c r="A71" s="8">
        <v>46079</v>
      </c>
      <c r="B71" s="9">
        <v>0.3125</v>
      </c>
      <c r="C71" t="s">
        <v>184</v>
      </c>
      <c r="D71" t="s">
        <v>236</v>
      </c>
      <c r="E71">
        <v>610521</v>
      </c>
      <c r="F71">
        <v>164232</v>
      </c>
      <c r="G71" s="6">
        <v>50</v>
      </c>
      <c r="H71" s="6">
        <f t="shared" si="1"/>
        <v>0</v>
      </c>
      <c r="I71">
        <v>50</v>
      </c>
      <c r="J71" t="s">
        <v>26</v>
      </c>
      <c r="K71" t="s">
        <v>39</v>
      </c>
    </row>
    <row r="72" spans="1:11" x14ac:dyDescent="0.25">
      <c r="A72" s="8">
        <v>46079</v>
      </c>
      <c r="B72" s="9">
        <v>0.33402777777777776</v>
      </c>
      <c r="C72" t="s">
        <v>184</v>
      </c>
      <c r="D72" t="s">
        <v>236</v>
      </c>
      <c r="E72">
        <v>610532</v>
      </c>
      <c r="F72">
        <v>74044</v>
      </c>
      <c r="G72" s="6">
        <v>50</v>
      </c>
      <c r="H72" s="6">
        <f t="shared" si="1"/>
        <v>0</v>
      </c>
      <c r="I72">
        <v>50</v>
      </c>
      <c r="J72" t="s">
        <v>26</v>
      </c>
      <c r="K72" t="s">
        <v>39</v>
      </c>
    </row>
    <row r="73" spans="1:11" x14ac:dyDescent="0.25">
      <c r="A73" s="8">
        <v>46079</v>
      </c>
      <c r="B73" s="9">
        <v>0.3888888888888889</v>
      </c>
      <c r="C73" t="s">
        <v>184</v>
      </c>
      <c r="D73" t="s">
        <v>236</v>
      </c>
      <c r="E73">
        <v>610568</v>
      </c>
      <c r="F73">
        <v>878782</v>
      </c>
      <c r="G73" s="6">
        <v>50</v>
      </c>
      <c r="H73" s="6">
        <f t="shared" si="1"/>
        <v>0</v>
      </c>
      <c r="I73">
        <v>50</v>
      </c>
      <c r="J73" t="s">
        <v>27</v>
      </c>
      <c r="K73" t="s">
        <v>39</v>
      </c>
    </row>
    <row r="74" spans="1:11" x14ac:dyDescent="0.25">
      <c r="A74" s="8">
        <v>46079</v>
      </c>
      <c r="B74" s="9">
        <v>0.2722222222222222</v>
      </c>
      <c r="C74" t="s">
        <v>184</v>
      </c>
      <c r="D74" t="s">
        <v>236</v>
      </c>
      <c r="E74">
        <v>599777</v>
      </c>
      <c r="F74" t="s">
        <v>257</v>
      </c>
      <c r="G74" s="6">
        <v>50</v>
      </c>
      <c r="H74" s="6">
        <f t="shared" si="1"/>
        <v>0</v>
      </c>
      <c r="I74">
        <v>50</v>
      </c>
      <c r="J74" t="s">
        <v>28</v>
      </c>
      <c r="K74" t="s">
        <v>39</v>
      </c>
    </row>
    <row r="75" spans="1:11" x14ac:dyDescent="0.25">
      <c r="A75" s="8">
        <v>46079</v>
      </c>
      <c r="B75" s="9">
        <v>0.53472222222222221</v>
      </c>
      <c r="C75" t="s">
        <v>184</v>
      </c>
      <c r="D75" t="s">
        <v>236</v>
      </c>
      <c r="E75">
        <v>374171</v>
      </c>
      <c r="F75" t="s">
        <v>262</v>
      </c>
      <c r="G75" s="6">
        <v>50</v>
      </c>
      <c r="H75" s="6">
        <f t="shared" si="1"/>
        <v>0</v>
      </c>
      <c r="I75">
        <v>50</v>
      </c>
      <c r="J75" t="s">
        <v>28</v>
      </c>
      <c r="K75" t="s">
        <v>39</v>
      </c>
    </row>
    <row r="76" spans="1:11" x14ac:dyDescent="0.25">
      <c r="A76" s="8">
        <v>46079</v>
      </c>
      <c r="B76" s="9">
        <v>0.54097222222222219</v>
      </c>
      <c r="C76" t="s">
        <v>184</v>
      </c>
      <c r="D76" t="s">
        <v>236</v>
      </c>
      <c r="E76">
        <v>374174</v>
      </c>
      <c r="F76">
        <v>886026</v>
      </c>
      <c r="G76" s="6">
        <v>50</v>
      </c>
      <c r="H76" s="6">
        <f t="shared" si="1"/>
        <v>0</v>
      </c>
      <c r="I76">
        <v>50</v>
      </c>
      <c r="J76" t="s">
        <v>29</v>
      </c>
      <c r="K76" t="s">
        <v>46</v>
      </c>
    </row>
    <row r="77" spans="1:11" x14ac:dyDescent="0.25">
      <c r="A77" s="8">
        <v>46079</v>
      </c>
      <c r="B77" s="9">
        <v>0.56805555555555554</v>
      </c>
      <c r="C77" t="s">
        <v>184</v>
      </c>
      <c r="D77" t="s">
        <v>236</v>
      </c>
      <c r="E77">
        <v>754108</v>
      </c>
      <c r="F77">
        <v>904052</v>
      </c>
      <c r="G77" s="6">
        <v>50</v>
      </c>
      <c r="H77" s="6">
        <f t="shared" si="1"/>
        <v>0</v>
      </c>
      <c r="I77">
        <v>50</v>
      </c>
      <c r="J77" t="s">
        <v>30</v>
      </c>
      <c r="K77" t="s">
        <v>39</v>
      </c>
    </row>
    <row r="78" spans="1:11" x14ac:dyDescent="0.25">
      <c r="A78" s="8"/>
      <c r="B78" s="9"/>
      <c r="G78" s="6"/>
      <c r="H78" s="6">
        <f t="shared" si="1"/>
        <v>-50</v>
      </c>
      <c r="I78">
        <v>50</v>
      </c>
      <c r="J78" t="s">
        <v>30</v>
      </c>
      <c r="K78" t="s">
        <v>39</v>
      </c>
    </row>
    <row r="79" spans="1:11" x14ac:dyDescent="0.25">
      <c r="A79" s="8">
        <v>46079</v>
      </c>
      <c r="B79" s="9">
        <v>0.19722222222222222</v>
      </c>
      <c r="C79" t="s">
        <v>184</v>
      </c>
      <c r="D79" t="s">
        <v>236</v>
      </c>
      <c r="E79">
        <v>371019</v>
      </c>
      <c r="F79">
        <v>41531</v>
      </c>
      <c r="G79" s="6">
        <v>50.03</v>
      </c>
      <c r="H79" s="6">
        <f t="shared" si="1"/>
        <v>0</v>
      </c>
      <c r="I79">
        <v>50.03</v>
      </c>
      <c r="J79" t="s">
        <v>22</v>
      </c>
      <c r="K79" t="s">
        <v>39</v>
      </c>
    </row>
    <row r="80" spans="1:11" x14ac:dyDescent="0.25">
      <c r="A80" s="8">
        <v>46079</v>
      </c>
      <c r="B80" s="9">
        <v>0.66874999999999996</v>
      </c>
      <c r="C80" t="s">
        <v>184</v>
      </c>
      <c r="D80" t="s">
        <v>236</v>
      </c>
      <c r="E80">
        <v>374198</v>
      </c>
      <c r="F80">
        <v>646107</v>
      </c>
      <c r="G80" s="6">
        <v>50.05</v>
      </c>
      <c r="H80" s="6">
        <f t="shared" si="1"/>
        <v>0</v>
      </c>
      <c r="I80">
        <v>50.05</v>
      </c>
      <c r="J80" t="s">
        <v>30</v>
      </c>
      <c r="K80" t="s">
        <v>39</v>
      </c>
    </row>
    <row r="81" spans="1:11" x14ac:dyDescent="0.25">
      <c r="A81" s="8">
        <v>46079</v>
      </c>
      <c r="B81" s="9">
        <v>0.83750000000000002</v>
      </c>
      <c r="C81" t="s">
        <v>184</v>
      </c>
      <c r="D81" t="s">
        <v>236</v>
      </c>
      <c r="E81">
        <v>877740</v>
      </c>
      <c r="F81">
        <v>62576</v>
      </c>
      <c r="G81" s="6">
        <v>50.74</v>
      </c>
      <c r="H81" s="6">
        <f t="shared" si="1"/>
        <v>0</v>
      </c>
      <c r="I81">
        <v>50.74</v>
      </c>
      <c r="J81" t="s">
        <v>29</v>
      </c>
      <c r="K81" t="s">
        <v>39</v>
      </c>
    </row>
    <row r="82" spans="1:11" x14ac:dyDescent="0.25">
      <c r="A82" s="8">
        <v>46079</v>
      </c>
      <c r="B82" s="9">
        <v>6.9444444444444441E-3</v>
      </c>
      <c r="C82" t="s">
        <v>184</v>
      </c>
      <c r="D82" t="s">
        <v>236</v>
      </c>
      <c r="E82">
        <v>374076</v>
      </c>
      <c r="F82">
        <v>79142</v>
      </c>
      <c r="G82" s="6">
        <v>51.17</v>
      </c>
      <c r="H82" s="6">
        <f t="shared" si="1"/>
        <v>0</v>
      </c>
      <c r="I82">
        <v>51.17</v>
      </c>
      <c r="J82" t="s">
        <v>31</v>
      </c>
      <c r="K82" t="s">
        <v>39</v>
      </c>
    </row>
    <row r="83" spans="1:11" x14ac:dyDescent="0.25">
      <c r="A83" s="8">
        <v>46079</v>
      </c>
      <c r="B83" s="9">
        <v>0.39583333333333331</v>
      </c>
      <c r="C83" t="s">
        <v>184</v>
      </c>
      <c r="D83" t="s">
        <v>236</v>
      </c>
      <c r="E83">
        <v>599823</v>
      </c>
      <c r="F83" t="s">
        <v>259</v>
      </c>
      <c r="G83" s="6">
        <v>51.99</v>
      </c>
      <c r="H83" s="6">
        <f t="shared" si="1"/>
        <v>0</v>
      </c>
      <c r="I83">
        <v>51.99</v>
      </c>
      <c r="J83" t="s">
        <v>27</v>
      </c>
      <c r="K83" t="s">
        <v>39</v>
      </c>
    </row>
    <row r="84" spans="1:11" x14ac:dyDescent="0.25">
      <c r="A84" s="8">
        <v>46079</v>
      </c>
      <c r="B84" s="9">
        <v>0.31527777777777777</v>
      </c>
      <c r="C84" t="s">
        <v>184</v>
      </c>
      <c r="D84" t="s">
        <v>236</v>
      </c>
      <c r="E84">
        <v>754052</v>
      </c>
      <c r="F84">
        <v>419562</v>
      </c>
      <c r="G84" s="6">
        <v>52.56</v>
      </c>
      <c r="H84" s="6">
        <f t="shared" si="1"/>
        <v>0</v>
      </c>
      <c r="I84">
        <v>52.56</v>
      </c>
      <c r="J84" t="s">
        <v>25</v>
      </c>
      <c r="K84" t="s">
        <v>39</v>
      </c>
    </row>
    <row r="85" spans="1:11" x14ac:dyDescent="0.25">
      <c r="A85" s="8">
        <v>46079</v>
      </c>
      <c r="B85" s="9">
        <v>0.24374999999999999</v>
      </c>
      <c r="C85" t="s">
        <v>184</v>
      </c>
      <c r="D85" t="s">
        <v>236</v>
      </c>
      <c r="E85">
        <v>374165</v>
      </c>
      <c r="F85">
        <v>53917</v>
      </c>
      <c r="G85" s="6">
        <v>53.02</v>
      </c>
      <c r="H85" s="6">
        <f t="shared" si="1"/>
        <v>0</v>
      </c>
      <c r="I85">
        <v>53.02</v>
      </c>
      <c r="J85" t="s">
        <v>31</v>
      </c>
      <c r="K85" t="s">
        <v>39</v>
      </c>
    </row>
    <row r="86" spans="1:11" x14ac:dyDescent="0.25">
      <c r="A86" s="8">
        <v>46079</v>
      </c>
      <c r="B86" s="9">
        <v>0.30138888888888887</v>
      </c>
      <c r="C86" t="s">
        <v>184</v>
      </c>
      <c r="D86" t="s">
        <v>236</v>
      </c>
      <c r="E86">
        <v>754043</v>
      </c>
      <c r="F86" t="s">
        <v>261</v>
      </c>
      <c r="G86" s="6">
        <v>53.09</v>
      </c>
      <c r="H86" s="6">
        <f t="shared" si="1"/>
        <v>0</v>
      </c>
      <c r="I86">
        <v>53.09</v>
      </c>
      <c r="J86" t="s">
        <v>25</v>
      </c>
      <c r="K86" t="s">
        <v>39</v>
      </c>
    </row>
    <row r="87" spans="1:11" x14ac:dyDescent="0.25">
      <c r="A87" s="8">
        <v>46079</v>
      </c>
      <c r="B87" s="9">
        <v>0.45277777777777778</v>
      </c>
      <c r="C87" t="s">
        <v>184</v>
      </c>
      <c r="D87" t="s">
        <v>236</v>
      </c>
      <c r="E87">
        <v>371126</v>
      </c>
      <c r="F87">
        <v>89448</v>
      </c>
      <c r="G87" s="6">
        <v>53.93</v>
      </c>
      <c r="H87" s="6">
        <f t="shared" si="1"/>
        <v>0</v>
      </c>
      <c r="I87">
        <v>53.93</v>
      </c>
      <c r="J87" t="s">
        <v>32</v>
      </c>
      <c r="K87" t="s">
        <v>39</v>
      </c>
    </row>
    <row r="88" spans="1:11" x14ac:dyDescent="0.25">
      <c r="A88" s="8">
        <v>46079</v>
      </c>
      <c r="B88" s="9">
        <v>1.3888888888888888E-2</v>
      </c>
      <c r="C88" t="s">
        <v>184</v>
      </c>
      <c r="D88" t="s">
        <v>236</v>
      </c>
      <c r="E88">
        <v>753987</v>
      </c>
      <c r="F88">
        <v>254825</v>
      </c>
      <c r="G88" s="6">
        <v>56.08</v>
      </c>
      <c r="H88" s="6">
        <f t="shared" si="1"/>
        <v>0</v>
      </c>
      <c r="I88">
        <v>56.08</v>
      </c>
      <c r="J88" t="s">
        <v>22</v>
      </c>
      <c r="K88" t="s">
        <v>39</v>
      </c>
    </row>
    <row r="89" spans="1:11" x14ac:dyDescent="0.25">
      <c r="A89" s="8">
        <v>46079</v>
      </c>
      <c r="B89" s="9">
        <v>0.26250000000000001</v>
      </c>
      <c r="C89" t="s">
        <v>184</v>
      </c>
      <c r="D89" t="s">
        <v>236</v>
      </c>
      <c r="E89">
        <v>877530</v>
      </c>
      <c r="F89">
        <v>30324</v>
      </c>
      <c r="G89" s="6">
        <v>57.73</v>
      </c>
      <c r="H89" s="6">
        <f t="shared" si="1"/>
        <v>0</v>
      </c>
      <c r="I89">
        <v>57.73</v>
      </c>
      <c r="J89" t="s">
        <v>23</v>
      </c>
      <c r="K89" t="s">
        <v>39</v>
      </c>
    </row>
    <row r="90" spans="1:11" x14ac:dyDescent="0.25">
      <c r="A90" s="8">
        <v>46079</v>
      </c>
      <c r="B90" s="9">
        <v>0.46527777777777779</v>
      </c>
      <c r="C90" t="s">
        <v>184</v>
      </c>
      <c r="D90" t="s">
        <v>236</v>
      </c>
      <c r="E90">
        <v>869481</v>
      </c>
      <c r="F90">
        <v>54196</v>
      </c>
      <c r="G90" s="6">
        <v>58.63</v>
      </c>
      <c r="H90" s="6">
        <f t="shared" si="1"/>
        <v>0</v>
      </c>
      <c r="I90">
        <v>58.63</v>
      </c>
      <c r="J90" t="s">
        <v>25</v>
      </c>
      <c r="K90" t="s">
        <v>39</v>
      </c>
    </row>
    <row r="91" spans="1:11" x14ac:dyDescent="0.25">
      <c r="A91" s="8">
        <v>46079</v>
      </c>
      <c r="B91" s="9">
        <v>0.73263888888888884</v>
      </c>
      <c r="C91" t="s">
        <v>184</v>
      </c>
      <c r="D91" t="s">
        <v>236</v>
      </c>
      <c r="E91">
        <v>599951</v>
      </c>
      <c r="F91">
        <v>353963</v>
      </c>
      <c r="G91" s="6">
        <v>60</v>
      </c>
      <c r="H91" s="6">
        <f t="shared" si="1"/>
        <v>0</v>
      </c>
      <c r="I91">
        <v>60</v>
      </c>
      <c r="J91" t="s">
        <v>24</v>
      </c>
      <c r="K91" t="s">
        <v>39</v>
      </c>
    </row>
    <row r="92" spans="1:11" x14ac:dyDescent="0.25">
      <c r="A92" s="8">
        <v>46079</v>
      </c>
      <c r="B92" s="9">
        <v>0.49722222222222223</v>
      </c>
      <c r="C92" t="s">
        <v>184</v>
      </c>
      <c r="D92" t="s">
        <v>236</v>
      </c>
      <c r="E92">
        <v>86768</v>
      </c>
      <c r="F92">
        <v>20905</v>
      </c>
      <c r="G92" s="6">
        <v>60</v>
      </c>
      <c r="H92" s="6">
        <f t="shared" si="1"/>
        <v>0</v>
      </c>
      <c r="I92">
        <v>60</v>
      </c>
      <c r="J92" t="s">
        <v>27</v>
      </c>
      <c r="K92" t="s">
        <v>39</v>
      </c>
    </row>
    <row r="93" spans="1:11" x14ac:dyDescent="0.25">
      <c r="A93" s="8">
        <v>46079</v>
      </c>
      <c r="B93" s="9">
        <v>0.65416666666666667</v>
      </c>
      <c r="C93" t="s">
        <v>184</v>
      </c>
      <c r="D93" t="s">
        <v>236</v>
      </c>
      <c r="E93">
        <v>374184</v>
      </c>
      <c r="F93">
        <v>170657</v>
      </c>
      <c r="G93" s="6">
        <v>60</v>
      </c>
      <c r="H93" s="6">
        <f t="shared" si="1"/>
        <v>0</v>
      </c>
      <c r="I93">
        <v>60</v>
      </c>
      <c r="J93" t="s">
        <v>30</v>
      </c>
      <c r="K93" t="s">
        <v>39</v>
      </c>
    </row>
    <row r="94" spans="1:11" x14ac:dyDescent="0.25">
      <c r="A94" s="8">
        <v>46079</v>
      </c>
      <c r="B94" s="9">
        <v>0.7055555555555556</v>
      </c>
      <c r="C94" t="s">
        <v>184</v>
      </c>
      <c r="D94" t="s">
        <v>236</v>
      </c>
      <c r="E94">
        <v>610702</v>
      </c>
      <c r="F94">
        <v>207617</v>
      </c>
      <c r="G94" s="6">
        <v>61.87</v>
      </c>
      <c r="H94" s="6">
        <f t="shared" si="1"/>
        <v>0</v>
      </c>
      <c r="I94">
        <v>61.87</v>
      </c>
      <c r="J94" t="s">
        <v>26</v>
      </c>
      <c r="K94" t="s">
        <v>39</v>
      </c>
    </row>
    <row r="95" spans="1:11" x14ac:dyDescent="0.25">
      <c r="A95" s="8">
        <v>46079</v>
      </c>
      <c r="B95" s="9">
        <v>0.77083333333333337</v>
      </c>
      <c r="C95" t="s">
        <v>184</v>
      </c>
      <c r="D95" t="s">
        <v>236</v>
      </c>
      <c r="E95">
        <v>877717</v>
      </c>
      <c r="F95">
        <v>57033</v>
      </c>
      <c r="G95" s="6">
        <v>63.57</v>
      </c>
      <c r="H95" s="6">
        <f t="shared" si="1"/>
        <v>0</v>
      </c>
      <c r="I95">
        <v>63.57</v>
      </c>
      <c r="J95" t="s">
        <v>29</v>
      </c>
      <c r="K95" t="s">
        <v>39</v>
      </c>
    </row>
    <row r="96" spans="1:11" x14ac:dyDescent="0.25">
      <c r="A96" s="8">
        <v>46079</v>
      </c>
      <c r="B96" s="9">
        <v>0.31319444444444444</v>
      </c>
      <c r="C96" t="s">
        <v>184</v>
      </c>
      <c r="D96" t="s">
        <v>236</v>
      </c>
      <c r="E96">
        <v>877563</v>
      </c>
      <c r="F96">
        <v>265888</v>
      </c>
      <c r="G96" s="6">
        <v>64.47</v>
      </c>
      <c r="H96" s="6">
        <f t="shared" si="1"/>
        <v>0</v>
      </c>
      <c r="I96">
        <v>64.47</v>
      </c>
      <c r="J96" t="s">
        <v>23</v>
      </c>
      <c r="K96" t="s">
        <v>39</v>
      </c>
    </row>
    <row r="97" spans="1:11" x14ac:dyDescent="0.25">
      <c r="A97" s="8">
        <v>46079</v>
      </c>
      <c r="B97" s="9">
        <v>0.28194444444444444</v>
      </c>
      <c r="C97" t="s">
        <v>184</v>
      </c>
      <c r="D97" t="s">
        <v>236</v>
      </c>
      <c r="E97">
        <v>599783</v>
      </c>
      <c r="F97">
        <v>9889</v>
      </c>
      <c r="G97" s="6">
        <v>64.5</v>
      </c>
      <c r="H97" s="6">
        <f t="shared" si="1"/>
        <v>0</v>
      </c>
      <c r="I97">
        <v>64.5</v>
      </c>
      <c r="J97" t="s">
        <v>25</v>
      </c>
      <c r="K97" t="s">
        <v>39</v>
      </c>
    </row>
    <row r="98" spans="1:11" x14ac:dyDescent="0.25">
      <c r="A98" s="8">
        <v>46079</v>
      </c>
      <c r="B98" s="9">
        <v>0.26319444444444445</v>
      </c>
      <c r="C98" t="s">
        <v>184</v>
      </c>
      <c r="D98" t="s">
        <v>236</v>
      </c>
      <c r="E98">
        <v>754024</v>
      </c>
      <c r="F98">
        <v>95165</v>
      </c>
      <c r="G98" s="6">
        <v>64.5</v>
      </c>
      <c r="H98" s="6">
        <f t="shared" si="1"/>
        <v>0</v>
      </c>
      <c r="I98">
        <v>64.5</v>
      </c>
      <c r="J98" t="s">
        <v>27</v>
      </c>
      <c r="K98" t="s">
        <v>39</v>
      </c>
    </row>
    <row r="99" spans="1:11" x14ac:dyDescent="0.25">
      <c r="A99" s="8">
        <v>46079</v>
      </c>
      <c r="B99" s="9">
        <v>5.6250000000000001E-2</v>
      </c>
      <c r="C99" t="s">
        <v>184</v>
      </c>
      <c r="D99" t="s">
        <v>236</v>
      </c>
      <c r="E99">
        <v>754009</v>
      </c>
      <c r="F99">
        <v>401113</v>
      </c>
      <c r="G99" s="6">
        <v>65.61</v>
      </c>
      <c r="H99" s="6">
        <f t="shared" si="1"/>
        <v>0</v>
      </c>
      <c r="I99">
        <v>65.61</v>
      </c>
      <c r="J99" t="s">
        <v>22</v>
      </c>
      <c r="K99" t="s">
        <v>39</v>
      </c>
    </row>
    <row r="100" spans="1:11" x14ac:dyDescent="0.25">
      <c r="A100" s="8">
        <v>46079</v>
      </c>
      <c r="B100" s="9">
        <v>0.34930555555555554</v>
      </c>
      <c r="C100" t="s">
        <v>184</v>
      </c>
      <c r="D100" t="s">
        <v>236</v>
      </c>
      <c r="E100">
        <v>599813</v>
      </c>
      <c r="F100">
        <v>54560</v>
      </c>
      <c r="G100" s="6">
        <v>66.11</v>
      </c>
      <c r="H100" s="6">
        <f t="shared" si="1"/>
        <v>0</v>
      </c>
      <c r="I100">
        <v>66.11</v>
      </c>
      <c r="J100" t="s">
        <v>27</v>
      </c>
      <c r="K100" t="s">
        <v>39</v>
      </c>
    </row>
    <row r="101" spans="1:11" x14ac:dyDescent="0.25">
      <c r="A101" s="8">
        <v>46079</v>
      </c>
      <c r="B101" s="9">
        <v>0.80069444444444449</v>
      </c>
      <c r="C101" t="s">
        <v>184</v>
      </c>
      <c r="D101" t="s">
        <v>236</v>
      </c>
      <c r="E101">
        <v>374273</v>
      </c>
      <c r="F101">
        <v>305501</v>
      </c>
      <c r="G101" s="6">
        <v>66.16</v>
      </c>
      <c r="H101" s="6">
        <f t="shared" si="1"/>
        <v>0</v>
      </c>
      <c r="I101">
        <v>66.16</v>
      </c>
      <c r="J101" t="s">
        <v>30</v>
      </c>
      <c r="K101" t="s">
        <v>39</v>
      </c>
    </row>
    <row r="102" spans="1:11" x14ac:dyDescent="0.25">
      <c r="A102" s="8">
        <v>46079</v>
      </c>
      <c r="B102" s="9">
        <v>0.59027777777777779</v>
      </c>
      <c r="C102" t="s">
        <v>184</v>
      </c>
      <c r="D102" t="s">
        <v>236</v>
      </c>
      <c r="E102">
        <v>374128</v>
      </c>
      <c r="F102">
        <v>871187</v>
      </c>
      <c r="G102" s="6">
        <v>67.62</v>
      </c>
      <c r="H102" s="6">
        <f t="shared" si="1"/>
        <v>0</v>
      </c>
      <c r="I102">
        <v>67.62</v>
      </c>
      <c r="J102" t="s">
        <v>30</v>
      </c>
      <c r="K102" t="s">
        <v>39</v>
      </c>
    </row>
    <row r="103" spans="1:11" x14ac:dyDescent="0.25">
      <c r="A103" s="8">
        <v>46079</v>
      </c>
      <c r="B103" s="9">
        <v>0.50624999999999998</v>
      </c>
      <c r="C103" t="s">
        <v>184</v>
      </c>
      <c r="D103" t="s">
        <v>236</v>
      </c>
      <c r="E103">
        <v>877696</v>
      </c>
      <c r="F103">
        <v>509782</v>
      </c>
      <c r="G103" s="6">
        <v>70</v>
      </c>
      <c r="H103" s="6">
        <f t="shared" si="1"/>
        <v>0</v>
      </c>
      <c r="I103">
        <v>70</v>
      </c>
      <c r="J103" t="s">
        <v>23</v>
      </c>
      <c r="K103" t="s">
        <v>39</v>
      </c>
    </row>
    <row r="104" spans="1:11" x14ac:dyDescent="0.25">
      <c r="A104" s="8">
        <v>46079</v>
      </c>
      <c r="B104" s="9">
        <v>1.1805555555555555E-2</v>
      </c>
      <c r="C104" t="s">
        <v>184</v>
      </c>
      <c r="D104" t="s">
        <v>236</v>
      </c>
      <c r="E104">
        <v>374080</v>
      </c>
      <c r="F104">
        <v>636906</v>
      </c>
      <c r="G104" s="6">
        <v>71.2</v>
      </c>
      <c r="H104" s="6">
        <f t="shared" si="1"/>
        <v>0</v>
      </c>
      <c r="I104">
        <v>71.2</v>
      </c>
      <c r="J104" t="s">
        <v>31</v>
      </c>
      <c r="K104" t="s">
        <v>39</v>
      </c>
    </row>
    <row r="105" spans="1:11" x14ac:dyDescent="0.25">
      <c r="A105" s="8">
        <v>46079</v>
      </c>
      <c r="B105" s="9">
        <v>0.77708333333333335</v>
      </c>
      <c r="C105" t="s">
        <v>184</v>
      </c>
      <c r="D105" t="s">
        <v>236</v>
      </c>
      <c r="E105">
        <v>374250</v>
      </c>
      <c r="F105">
        <v>951468</v>
      </c>
      <c r="G105" s="6">
        <v>77.900000000000006</v>
      </c>
      <c r="H105" s="6">
        <f t="shared" si="1"/>
        <v>0</v>
      </c>
      <c r="I105">
        <v>77.900000000000006</v>
      </c>
      <c r="J105" t="s">
        <v>30</v>
      </c>
      <c r="K105" t="s">
        <v>39</v>
      </c>
    </row>
    <row r="106" spans="1:11" x14ac:dyDescent="0.25">
      <c r="A106" s="8">
        <v>46079</v>
      </c>
      <c r="B106" s="9">
        <v>0.31180555555555556</v>
      </c>
      <c r="C106" t="s">
        <v>184</v>
      </c>
      <c r="D106" t="s">
        <v>236</v>
      </c>
      <c r="E106">
        <v>754049</v>
      </c>
      <c r="F106">
        <v>53837</v>
      </c>
      <c r="G106" s="6">
        <v>81.48</v>
      </c>
      <c r="H106" s="6">
        <f t="shared" si="1"/>
        <v>0</v>
      </c>
      <c r="I106">
        <v>81.48</v>
      </c>
      <c r="J106" t="s">
        <v>25</v>
      </c>
      <c r="K106" t="s">
        <v>39</v>
      </c>
    </row>
    <row r="107" spans="1:11" x14ac:dyDescent="0.25">
      <c r="A107" s="8">
        <v>46079</v>
      </c>
      <c r="B107" s="9">
        <v>0.59583333333333333</v>
      </c>
      <c r="C107" t="s">
        <v>184</v>
      </c>
      <c r="D107" t="s">
        <v>236</v>
      </c>
      <c r="E107">
        <v>599903</v>
      </c>
      <c r="F107">
        <v>855425</v>
      </c>
      <c r="G107" s="6">
        <v>85.01</v>
      </c>
      <c r="H107" s="6">
        <f t="shared" si="1"/>
        <v>0</v>
      </c>
      <c r="I107">
        <v>85.01</v>
      </c>
      <c r="J107" t="s">
        <v>27</v>
      </c>
      <c r="K107" t="s">
        <v>39</v>
      </c>
    </row>
    <row r="108" spans="1:11" x14ac:dyDescent="0.25">
      <c r="A108" s="8">
        <v>46079</v>
      </c>
      <c r="B108" s="9">
        <v>0.80833333333333335</v>
      </c>
      <c r="C108" t="s">
        <v>184</v>
      </c>
      <c r="D108" t="s">
        <v>236</v>
      </c>
      <c r="E108">
        <v>610739</v>
      </c>
      <c r="F108">
        <v>535815</v>
      </c>
      <c r="G108" s="6">
        <v>89.33</v>
      </c>
      <c r="H108" s="6">
        <f t="shared" si="1"/>
        <v>0</v>
      </c>
      <c r="I108">
        <v>89.33</v>
      </c>
      <c r="J108" t="s">
        <v>28</v>
      </c>
      <c r="K108" t="s">
        <v>39</v>
      </c>
    </row>
    <row r="109" spans="1:11" x14ac:dyDescent="0.25">
      <c r="A109" s="8">
        <v>46079</v>
      </c>
      <c r="B109" s="9">
        <v>0.76597222222222228</v>
      </c>
      <c r="C109" t="s">
        <v>184</v>
      </c>
      <c r="D109" t="s">
        <v>236</v>
      </c>
      <c r="E109">
        <v>610713</v>
      </c>
      <c r="F109">
        <v>45263</v>
      </c>
      <c r="G109" s="6">
        <v>100</v>
      </c>
      <c r="H109" s="6">
        <f t="shared" si="1"/>
        <v>0</v>
      </c>
      <c r="I109">
        <v>100</v>
      </c>
      <c r="J109" t="s">
        <v>22</v>
      </c>
      <c r="K109" t="s">
        <v>39</v>
      </c>
    </row>
    <row r="110" spans="1:11" x14ac:dyDescent="0.25">
      <c r="A110" s="8">
        <v>46079</v>
      </c>
      <c r="B110" s="9">
        <v>0.70833333333333337</v>
      </c>
      <c r="C110" t="s">
        <v>184</v>
      </c>
      <c r="D110" t="s">
        <v>236</v>
      </c>
      <c r="E110">
        <v>599936</v>
      </c>
      <c r="F110">
        <v>710079</v>
      </c>
      <c r="G110" s="6">
        <v>100</v>
      </c>
      <c r="H110" s="6">
        <f t="shared" si="1"/>
        <v>0</v>
      </c>
      <c r="I110">
        <v>100</v>
      </c>
      <c r="J110" t="s">
        <v>23</v>
      </c>
      <c r="K110" t="s">
        <v>39</v>
      </c>
    </row>
    <row r="111" spans="1:11" x14ac:dyDescent="0.25">
      <c r="A111" s="8">
        <v>46079</v>
      </c>
      <c r="B111" s="9">
        <v>0.84305555555555556</v>
      </c>
      <c r="C111" t="s">
        <v>184</v>
      </c>
      <c r="D111" t="s">
        <v>236</v>
      </c>
      <c r="E111">
        <v>86940</v>
      </c>
      <c r="F111">
        <v>768703</v>
      </c>
      <c r="G111" s="6">
        <v>100</v>
      </c>
      <c r="H111" s="6">
        <f t="shared" si="1"/>
        <v>0</v>
      </c>
      <c r="I111">
        <v>100</v>
      </c>
      <c r="J111" t="s">
        <v>24</v>
      </c>
      <c r="K111" t="s">
        <v>39</v>
      </c>
    </row>
    <row r="112" spans="1:11" x14ac:dyDescent="0.25">
      <c r="A112" s="8">
        <v>46079</v>
      </c>
      <c r="B112" s="9">
        <v>0.31597222222222221</v>
      </c>
      <c r="C112" t="s">
        <v>184</v>
      </c>
      <c r="D112" t="s">
        <v>236</v>
      </c>
      <c r="E112">
        <v>877568</v>
      </c>
      <c r="F112" t="s">
        <v>253</v>
      </c>
      <c r="G112" s="6">
        <v>100</v>
      </c>
      <c r="H112" s="6">
        <f t="shared" si="1"/>
        <v>0</v>
      </c>
      <c r="I112">
        <v>100</v>
      </c>
      <c r="J112" t="s">
        <v>27</v>
      </c>
      <c r="K112" t="s">
        <v>39</v>
      </c>
    </row>
    <row r="113" spans="1:11" x14ac:dyDescent="0.25">
      <c r="A113" s="8">
        <v>46079</v>
      </c>
      <c r="B113" s="9">
        <v>0.19513888888888889</v>
      </c>
      <c r="C113" t="s">
        <v>184</v>
      </c>
      <c r="D113" t="s">
        <v>236</v>
      </c>
      <c r="E113">
        <v>371015</v>
      </c>
      <c r="F113">
        <v>180754</v>
      </c>
      <c r="G113" s="6">
        <v>100</v>
      </c>
      <c r="H113" s="6">
        <f t="shared" si="1"/>
        <v>0</v>
      </c>
      <c r="I113">
        <v>100</v>
      </c>
      <c r="J113" t="s">
        <v>28</v>
      </c>
      <c r="K113" t="s">
        <v>39</v>
      </c>
    </row>
    <row r="114" spans="1:11" x14ac:dyDescent="0.25">
      <c r="A114" s="8">
        <v>46079</v>
      </c>
      <c r="B114" s="9">
        <v>0.66249999999999998</v>
      </c>
      <c r="C114" t="s">
        <v>184</v>
      </c>
      <c r="D114" t="s">
        <v>236</v>
      </c>
      <c r="E114">
        <v>86836</v>
      </c>
      <c r="F114">
        <v>16660</v>
      </c>
      <c r="G114" s="6">
        <v>112.65</v>
      </c>
      <c r="H114" s="6">
        <f t="shared" si="1"/>
        <v>0</v>
      </c>
      <c r="I114">
        <v>112.65</v>
      </c>
      <c r="J114" t="s">
        <v>24</v>
      </c>
      <c r="K114" t="s">
        <v>39</v>
      </c>
    </row>
    <row r="115" spans="1:11" x14ac:dyDescent="0.25">
      <c r="A115" s="8">
        <v>46079</v>
      </c>
      <c r="B115" s="9">
        <v>0.3</v>
      </c>
      <c r="C115" t="s">
        <v>184</v>
      </c>
      <c r="D115" t="s">
        <v>236</v>
      </c>
      <c r="E115">
        <v>754040</v>
      </c>
      <c r="F115">
        <v>60617</v>
      </c>
      <c r="G115" s="6">
        <v>124.19</v>
      </c>
      <c r="H115" s="6">
        <f t="shared" si="1"/>
        <v>0</v>
      </c>
      <c r="I115">
        <v>124.19</v>
      </c>
      <c r="J115" t="s">
        <v>25</v>
      </c>
      <c r="K115" t="s">
        <v>39</v>
      </c>
    </row>
    <row r="116" spans="1:11" x14ac:dyDescent="0.25">
      <c r="A116" s="8">
        <v>46079</v>
      </c>
      <c r="B116" s="9">
        <v>0.90972222222222221</v>
      </c>
      <c r="C116" t="s">
        <v>184</v>
      </c>
      <c r="D116" t="s">
        <v>236</v>
      </c>
      <c r="E116">
        <v>610801</v>
      </c>
      <c r="F116">
        <v>448188</v>
      </c>
      <c r="G116" s="6">
        <v>129</v>
      </c>
      <c r="H116" s="6">
        <f t="shared" si="1"/>
        <v>0</v>
      </c>
      <c r="I116">
        <v>129</v>
      </c>
      <c r="J116" t="s">
        <v>28</v>
      </c>
      <c r="K116" t="s">
        <v>39</v>
      </c>
    </row>
    <row r="117" spans="1:11" x14ac:dyDescent="0.25">
      <c r="A117" s="8">
        <v>46079</v>
      </c>
      <c r="B117" s="9">
        <v>0.82847222222222228</v>
      </c>
      <c r="C117" t="s">
        <v>184</v>
      </c>
      <c r="D117" t="s">
        <v>236</v>
      </c>
      <c r="E117">
        <v>86926</v>
      </c>
      <c r="F117">
        <v>427932</v>
      </c>
      <c r="G117" s="6">
        <v>150</v>
      </c>
      <c r="H117" s="6">
        <f t="shared" si="1"/>
        <v>0</v>
      </c>
      <c r="I117">
        <v>150</v>
      </c>
      <c r="J117" t="s">
        <v>22</v>
      </c>
      <c r="K117" t="s">
        <v>39</v>
      </c>
    </row>
    <row r="118" spans="1:11" x14ac:dyDescent="0.25">
      <c r="A118" s="8">
        <v>46079</v>
      </c>
      <c r="B118" s="9">
        <v>0.20694444444444443</v>
      </c>
      <c r="C118" t="s">
        <v>184</v>
      </c>
      <c r="D118" t="s">
        <v>236</v>
      </c>
      <c r="E118">
        <v>371023</v>
      </c>
      <c r="F118" t="s">
        <v>255</v>
      </c>
      <c r="G118" s="6">
        <v>150</v>
      </c>
      <c r="H118" s="6">
        <f t="shared" si="1"/>
        <v>0</v>
      </c>
      <c r="I118">
        <v>150</v>
      </c>
      <c r="J118" t="s">
        <v>24</v>
      </c>
      <c r="K118" t="s">
        <v>39</v>
      </c>
    </row>
    <row r="119" spans="1:11" x14ac:dyDescent="0.25">
      <c r="A119" s="8">
        <v>46079</v>
      </c>
      <c r="B119" s="9">
        <v>0.71319444444444446</v>
      </c>
      <c r="C119" t="s">
        <v>184</v>
      </c>
      <c r="D119" t="s">
        <v>236</v>
      </c>
      <c r="E119">
        <v>371192</v>
      </c>
      <c r="F119" t="s">
        <v>248</v>
      </c>
      <c r="G119" s="6">
        <v>158.97</v>
      </c>
      <c r="H119" s="6">
        <f t="shared" si="1"/>
        <v>0</v>
      </c>
      <c r="I119">
        <v>158.97</v>
      </c>
      <c r="J119" t="s">
        <v>32</v>
      </c>
      <c r="K119" t="s">
        <v>39</v>
      </c>
    </row>
    <row r="120" spans="1:11" x14ac:dyDescent="0.25">
      <c r="A120" s="8">
        <v>46079</v>
      </c>
      <c r="B120" s="9">
        <v>0.69305555555555554</v>
      </c>
      <c r="C120" t="s">
        <v>184</v>
      </c>
      <c r="D120" t="s">
        <v>236</v>
      </c>
      <c r="E120">
        <v>599923</v>
      </c>
      <c r="F120">
        <v>701094</v>
      </c>
      <c r="G120" s="6">
        <v>193.5</v>
      </c>
      <c r="H120" s="6">
        <f t="shared" si="1"/>
        <v>0</v>
      </c>
      <c r="I120">
        <v>193.5</v>
      </c>
      <c r="J120" t="s">
        <v>27</v>
      </c>
      <c r="K120" t="s">
        <v>39</v>
      </c>
    </row>
    <row r="121" spans="1:11" x14ac:dyDescent="0.25">
      <c r="A121" s="8">
        <v>46079</v>
      </c>
      <c r="B121" s="9">
        <v>0.7631944444444444</v>
      </c>
      <c r="C121" t="s">
        <v>184</v>
      </c>
      <c r="D121" t="s">
        <v>236</v>
      </c>
      <c r="E121">
        <v>610710</v>
      </c>
      <c r="F121">
        <v>19008</v>
      </c>
      <c r="G121" s="6">
        <v>200</v>
      </c>
      <c r="H121" s="6">
        <f t="shared" si="1"/>
        <v>0</v>
      </c>
      <c r="I121">
        <v>200</v>
      </c>
      <c r="J121" t="s">
        <v>28</v>
      </c>
      <c r="K121" t="s">
        <v>39</v>
      </c>
    </row>
    <row r="122" spans="1:11" x14ac:dyDescent="0.25">
      <c r="A122" s="8">
        <v>46079</v>
      </c>
      <c r="B122" s="9">
        <v>0.66111111111111109</v>
      </c>
      <c r="C122" t="s">
        <v>184</v>
      </c>
      <c r="D122" t="s">
        <v>236</v>
      </c>
      <c r="E122">
        <v>869528</v>
      </c>
      <c r="F122">
        <v>927847</v>
      </c>
      <c r="G122" s="6">
        <v>238.52</v>
      </c>
      <c r="H122" s="6">
        <f t="shared" si="1"/>
        <v>0</v>
      </c>
      <c r="I122">
        <v>238.52</v>
      </c>
      <c r="J122" t="s">
        <v>25</v>
      </c>
      <c r="K122" t="s">
        <v>39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1AFB5-5ECA-4953-ACF7-076FB206B9AA}">
  <dimension ref="A1:F5"/>
  <sheetViews>
    <sheetView workbookViewId="0">
      <selection activeCell="F5" sqref="F5"/>
    </sheetView>
  </sheetViews>
  <sheetFormatPr defaultRowHeight="15" x14ac:dyDescent="0.25"/>
  <sheetData>
    <row r="1" spans="1:6" x14ac:dyDescent="0.25">
      <c r="A1" t="s">
        <v>78</v>
      </c>
      <c r="B1" t="s">
        <v>79</v>
      </c>
      <c r="C1" t="s">
        <v>80</v>
      </c>
      <c r="D1" t="s">
        <v>81</v>
      </c>
      <c r="E1" t="s">
        <v>83</v>
      </c>
      <c r="F1" t="s">
        <v>84</v>
      </c>
    </row>
    <row r="2" spans="1:6" x14ac:dyDescent="0.25">
      <c r="A2" s="8">
        <v>46079</v>
      </c>
      <c r="B2" s="9">
        <v>0.81874999999999998</v>
      </c>
      <c r="C2">
        <v>1011962044</v>
      </c>
      <c r="D2" t="s">
        <v>87</v>
      </c>
      <c r="E2" t="s">
        <v>86</v>
      </c>
      <c r="F2">
        <v>35</v>
      </c>
    </row>
    <row r="3" spans="1:6" x14ac:dyDescent="0.25">
      <c r="A3" s="8">
        <v>46079</v>
      </c>
      <c r="B3" s="9">
        <v>0.7416666666666667</v>
      </c>
      <c r="C3">
        <v>1011962044</v>
      </c>
      <c r="D3" t="s">
        <v>85</v>
      </c>
      <c r="E3" t="s">
        <v>86</v>
      </c>
      <c r="F3">
        <v>64.5</v>
      </c>
    </row>
    <row r="4" spans="1:6" x14ac:dyDescent="0.25">
      <c r="A4" s="8">
        <v>46079</v>
      </c>
      <c r="B4" s="9">
        <v>0.49305555555555558</v>
      </c>
      <c r="C4">
        <v>1011962044</v>
      </c>
      <c r="D4" t="s">
        <v>85</v>
      </c>
      <c r="E4" t="s">
        <v>86</v>
      </c>
      <c r="F4">
        <v>260.32</v>
      </c>
    </row>
    <row r="5" spans="1:6" x14ac:dyDescent="0.25">
      <c r="A5" s="8">
        <v>46079</v>
      </c>
      <c r="B5" s="9">
        <v>0.42708333333333331</v>
      </c>
      <c r="C5">
        <v>1011962044</v>
      </c>
      <c r="D5" t="s">
        <v>85</v>
      </c>
      <c r="E5" t="s">
        <v>86</v>
      </c>
      <c r="F5">
        <v>631.78</v>
      </c>
    </row>
  </sheetData>
  <sortState xmlns:xlrd2="http://schemas.microsoft.com/office/spreadsheetml/2017/richdata2" ref="A2:F5">
    <sortCondition ref="F4:F5"/>
  </sortState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65383-FF4C-4153-BC9C-8B4F47EB02F4}">
  <dimension ref="A1:J13"/>
  <sheetViews>
    <sheetView topLeftCell="F1" workbookViewId="0">
      <selection activeCell="F5" sqref="F5"/>
    </sheetView>
  </sheetViews>
  <sheetFormatPr defaultRowHeight="15" x14ac:dyDescent="0.25"/>
  <cols>
    <col min="6" max="6" width="10.7109375" bestFit="1" customWidth="1"/>
  </cols>
  <sheetData>
    <row r="1" spans="1:10" x14ac:dyDescent="0.25">
      <c r="A1" t="s">
        <v>67</v>
      </c>
      <c r="B1" t="s">
        <v>75</v>
      </c>
      <c r="C1">
        <v>74344</v>
      </c>
      <c r="D1" s="7">
        <v>46079.67769675926</v>
      </c>
      <c r="E1" t="s">
        <v>66</v>
      </c>
      <c r="F1" s="6">
        <v>20</v>
      </c>
      <c r="H1">
        <v>20</v>
      </c>
      <c r="I1" t="s">
        <v>32</v>
      </c>
      <c r="J1" t="s">
        <v>50</v>
      </c>
    </row>
    <row r="2" spans="1:10" x14ac:dyDescent="0.25">
      <c r="A2" t="s">
        <v>67</v>
      </c>
      <c r="B2" t="s">
        <v>69</v>
      </c>
      <c r="C2">
        <v>95026</v>
      </c>
      <c r="D2" s="7">
        <v>46079.318912037037</v>
      </c>
      <c r="E2" t="s">
        <v>66</v>
      </c>
      <c r="F2" s="6">
        <v>20.059999999999999</v>
      </c>
      <c r="H2">
        <v>20.059999999999999</v>
      </c>
      <c r="I2" t="s">
        <v>32</v>
      </c>
      <c r="J2" t="s">
        <v>54</v>
      </c>
    </row>
    <row r="3" spans="1:10" x14ac:dyDescent="0.25">
      <c r="A3" t="s">
        <v>67</v>
      </c>
      <c r="B3" t="s">
        <v>76</v>
      </c>
      <c r="C3">
        <v>49744</v>
      </c>
      <c r="D3" s="7">
        <v>46079.73033564815</v>
      </c>
      <c r="E3" t="s">
        <v>66</v>
      </c>
      <c r="F3" s="6">
        <v>30</v>
      </c>
      <c r="H3">
        <v>30</v>
      </c>
      <c r="I3" t="s">
        <v>23</v>
      </c>
      <c r="J3" t="s">
        <v>50</v>
      </c>
    </row>
    <row r="4" spans="1:10" x14ac:dyDescent="0.25">
      <c r="A4" t="s">
        <v>70</v>
      </c>
      <c r="B4" t="s">
        <v>71</v>
      </c>
      <c r="C4">
        <v>47053</v>
      </c>
      <c r="D4" s="7">
        <v>46079.632233796299</v>
      </c>
      <c r="E4" t="s">
        <v>66</v>
      </c>
      <c r="F4" s="6">
        <v>34.03</v>
      </c>
      <c r="H4">
        <v>34.03</v>
      </c>
      <c r="I4" t="s">
        <v>26</v>
      </c>
      <c r="J4" t="s">
        <v>50</v>
      </c>
    </row>
    <row r="5" spans="1:10" x14ac:dyDescent="0.25">
      <c r="A5" t="s">
        <v>70</v>
      </c>
      <c r="B5" t="s">
        <v>71</v>
      </c>
      <c r="C5">
        <v>58066</v>
      </c>
      <c r="D5" s="7">
        <v>46079.340891203705</v>
      </c>
      <c r="E5" t="s">
        <v>66</v>
      </c>
      <c r="F5" s="6">
        <v>39.119999999999997</v>
      </c>
      <c r="H5">
        <v>39.92</v>
      </c>
      <c r="I5" t="s">
        <v>25</v>
      </c>
      <c r="J5" t="s">
        <v>54</v>
      </c>
    </row>
    <row r="6" spans="1:10" x14ac:dyDescent="0.25">
      <c r="A6" t="s">
        <v>70</v>
      </c>
      <c r="B6" t="s">
        <v>71</v>
      </c>
      <c r="C6">
        <v>12295</v>
      </c>
      <c r="D6" s="7">
        <v>46079.822094907409</v>
      </c>
      <c r="E6" t="s">
        <v>66</v>
      </c>
      <c r="F6" s="6">
        <v>40.36</v>
      </c>
      <c r="H6">
        <v>40.36</v>
      </c>
      <c r="I6" t="s">
        <v>29</v>
      </c>
      <c r="J6" t="s">
        <v>50</v>
      </c>
    </row>
    <row r="7" spans="1:10" x14ac:dyDescent="0.25">
      <c r="A7" t="s">
        <v>67</v>
      </c>
      <c r="B7" t="s">
        <v>75</v>
      </c>
      <c r="C7">
        <v>60767</v>
      </c>
      <c r="D7" s="7">
        <v>46079.671226851853</v>
      </c>
      <c r="E7" t="s">
        <v>66</v>
      </c>
      <c r="F7" s="6">
        <v>50</v>
      </c>
      <c r="H7">
        <v>50</v>
      </c>
      <c r="I7" t="s">
        <v>30</v>
      </c>
      <c r="J7" t="s">
        <v>50</v>
      </c>
    </row>
    <row r="8" spans="1:10" x14ac:dyDescent="0.25">
      <c r="A8" t="s">
        <v>70</v>
      </c>
      <c r="B8" t="s">
        <v>74</v>
      </c>
      <c r="C8">
        <v>85093</v>
      </c>
      <c r="D8" s="7">
        <v>46079.843229166669</v>
      </c>
      <c r="E8" t="s">
        <v>66</v>
      </c>
      <c r="F8" s="6">
        <v>67.92</v>
      </c>
      <c r="H8">
        <v>67.92</v>
      </c>
      <c r="I8" t="s">
        <v>28</v>
      </c>
      <c r="J8" t="s">
        <v>54</v>
      </c>
    </row>
    <row r="9" spans="1:10" x14ac:dyDescent="0.25">
      <c r="A9" t="s">
        <v>70</v>
      </c>
      <c r="B9" t="s">
        <v>77</v>
      </c>
      <c r="C9">
        <v>17316</v>
      </c>
      <c r="D9" s="7">
        <v>46079.295324074075</v>
      </c>
      <c r="E9" t="s">
        <v>66</v>
      </c>
      <c r="F9" s="6">
        <v>75</v>
      </c>
      <c r="H9">
        <v>75</v>
      </c>
      <c r="I9" t="s">
        <v>26</v>
      </c>
      <c r="J9" t="s">
        <v>50</v>
      </c>
    </row>
    <row r="10" spans="1:10" x14ac:dyDescent="0.25">
      <c r="A10" t="s">
        <v>70</v>
      </c>
      <c r="B10" t="s">
        <v>73</v>
      </c>
      <c r="C10">
        <v>92642</v>
      </c>
      <c r="D10" s="7">
        <v>46079.593425925923</v>
      </c>
      <c r="E10" t="s">
        <v>66</v>
      </c>
      <c r="F10" s="6">
        <v>139.38</v>
      </c>
      <c r="H10">
        <v>139.38</v>
      </c>
      <c r="I10" t="s">
        <v>27</v>
      </c>
      <c r="J10" t="s">
        <v>54</v>
      </c>
    </row>
    <row r="11" spans="1:10" x14ac:dyDescent="0.25">
      <c r="A11" t="s">
        <v>67</v>
      </c>
      <c r="B11" t="s">
        <v>68</v>
      </c>
      <c r="C11">
        <v>32335</v>
      </c>
      <c r="D11" s="7">
        <v>46079.253819444442</v>
      </c>
      <c r="E11" t="s">
        <v>66</v>
      </c>
      <c r="F11" s="6">
        <v>173.18</v>
      </c>
      <c r="H11">
        <v>173.18</v>
      </c>
      <c r="I11" t="s">
        <v>26</v>
      </c>
      <c r="J11" t="s">
        <v>54</v>
      </c>
    </row>
    <row r="12" spans="1:10" x14ac:dyDescent="0.25">
      <c r="A12" t="s">
        <v>70</v>
      </c>
      <c r="B12" t="s">
        <v>72</v>
      </c>
      <c r="C12">
        <v>55061</v>
      </c>
      <c r="D12" s="7">
        <v>46079.413263888891</v>
      </c>
      <c r="E12" t="s">
        <v>66</v>
      </c>
      <c r="F12" s="6">
        <v>674.09</v>
      </c>
      <c r="H12">
        <v>674.09</v>
      </c>
      <c r="I12" t="s">
        <v>32</v>
      </c>
      <c r="J12" t="s">
        <v>54</v>
      </c>
    </row>
    <row r="13" spans="1:10" x14ac:dyDescent="0.25">
      <c r="F13" s="6">
        <f>SUM(F1:F12)</f>
        <v>1363.1399999999999</v>
      </c>
    </row>
  </sheetData>
  <sortState xmlns:xlrd2="http://schemas.microsoft.com/office/spreadsheetml/2017/richdata2" ref="A1:F13">
    <sortCondition ref="F2:F13"/>
  </sortState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EA772-AB53-4DB9-B3EA-92AF5D92CCAD}">
  <sheetPr filterMode="1"/>
  <dimension ref="A1:C930"/>
  <sheetViews>
    <sheetView workbookViewId="0">
      <selection activeCell="A199" sqref="A199:C908"/>
    </sheetView>
  </sheetViews>
  <sheetFormatPr defaultRowHeight="15" x14ac:dyDescent="0.25"/>
  <cols>
    <col min="1" max="1" width="14.7109375" bestFit="1" customWidth="1"/>
    <col min="2" max="2" width="36.42578125" bestFit="1" customWidth="1"/>
    <col min="3" max="3" width="23.28515625" bestFit="1" customWidth="1"/>
  </cols>
  <sheetData>
    <row r="1" spans="1:3" x14ac:dyDescent="0.25">
      <c r="A1" t="s">
        <v>57</v>
      </c>
      <c r="B1" t="s">
        <v>1</v>
      </c>
      <c r="C1" t="s">
        <v>33</v>
      </c>
    </row>
    <row r="2" spans="1:3" hidden="1" x14ac:dyDescent="0.25">
      <c r="A2">
        <v>2.79</v>
      </c>
      <c r="B2" t="s">
        <v>30</v>
      </c>
      <c r="C2" t="s">
        <v>35</v>
      </c>
    </row>
    <row r="3" spans="1:3" hidden="1" x14ac:dyDescent="0.25">
      <c r="A3">
        <v>3.45</v>
      </c>
      <c r="B3" t="s">
        <v>23</v>
      </c>
      <c r="C3" t="s">
        <v>45</v>
      </c>
    </row>
    <row r="4" spans="1:3" hidden="1" x14ac:dyDescent="0.25">
      <c r="A4">
        <v>4.4800000000000004</v>
      </c>
      <c r="B4" t="s">
        <v>30</v>
      </c>
      <c r="C4" t="s">
        <v>35</v>
      </c>
    </row>
    <row r="5" spans="1:3" hidden="1" x14ac:dyDescent="0.25">
      <c r="A5">
        <v>4.82</v>
      </c>
      <c r="B5" t="s">
        <v>29</v>
      </c>
      <c r="C5" t="s">
        <v>35</v>
      </c>
    </row>
    <row r="6" spans="1:3" hidden="1" x14ac:dyDescent="0.25">
      <c r="A6">
        <v>5</v>
      </c>
      <c r="B6" t="s">
        <v>28</v>
      </c>
      <c r="C6" t="s">
        <v>38</v>
      </c>
    </row>
    <row r="7" spans="1:3" hidden="1" x14ac:dyDescent="0.25">
      <c r="A7">
        <v>5</v>
      </c>
      <c r="B7" t="s">
        <v>31</v>
      </c>
      <c r="C7" t="s">
        <v>38</v>
      </c>
    </row>
    <row r="8" spans="1:3" hidden="1" x14ac:dyDescent="0.25">
      <c r="A8">
        <v>5</v>
      </c>
      <c r="B8" t="s">
        <v>32</v>
      </c>
      <c r="C8" t="s">
        <v>37</v>
      </c>
    </row>
    <row r="9" spans="1:3" hidden="1" x14ac:dyDescent="0.25">
      <c r="A9">
        <v>6.2</v>
      </c>
      <c r="B9" t="s">
        <v>23</v>
      </c>
      <c r="C9" t="s">
        <v>39</v>
      </c>
    </row>
    <row r="10" spans="1:3" hidden="1" x14ac:dyDescent="0.25">
      <c r="A10">
        <v>6.45</v>
      </c>
      <c r="B10" t="s">
        <v>31</v>
      </c>
      <c r="C10" t="s">
        <v>38</v>
      </c>
    </row>
    <row r="11" spans="1:3" hidden="1" x14ac:dyDescent="0.25">
      <c r="A11">
        <v>7</v>
      </c>
      <c r="B11" t="s">
        <v>24</v>
      </c>
      <c r="C11" t="s">
        <v>38</v>
      </c>
    </row>
    <row r="12" spans="1:3" hidden="1" x14ac:dyDescent="0.25">
      <c r="A12">
        <v>7</v>
      </c>
      <c r="B12" t="s">
        <v>25</v>
      </c>
      <c r="C12" t="s">
        <v>47</v>
      </c>
    </row>
    <row r="13" spans="1:3" hidden="1" x14ac:dyDescent="0.25">
      <c r="A13">
        <v>7</v>
      </c>
      <c r="B13" t="s">
        <v>27</v>
      </c>
      <c r="C13" t="s">
        <v>41</v>
      </c>
    </row>
    <row r="14" spans="1:3" hidden="1" x14ac:dyDescent="0.25">
      <c r="A14">
        <v>7</v>
      </c>
      <c r="B14" t="s">
        <v>30</v>
      </c>
      <c r="C14" t="s">
        <v>38</v>
      </c>
    </row>
    <row r="15" spans="1:3" hidden="1" x14ac:dyDescent="0.25">
      <c r="A15">
        <v>8</v>
      </c>
      <c r="B15" t="s">
        <v>23</v>
      </c>
      <c r="C15" t="s">
        <v>38</v>
      </c>
    </row>
    <row r="16" spans="1:3" hidden="1" x14ac:dyDescent="0.25">
      <c r="A16">
        <v>8</v>
      </c>
      <c r="B16" t="s">
        <v>24</v>
      </c>
      <c r="C16" t="s">
        <v>37</v>
      </c>
    </row>
    <row r="17" spans="1:3" hidden="1" x14ac:dyDescent="0.25">
      <c r="A17">
        <v>8</v>
      </c>
      <c r="B17" t="s">
        <v>30</v>
      </c>
      <c r="C17" t="s">
        <v>35</v>
      </c>
    </row>
    <row r="18" spans="1:3" hidden="1" x14ac:dyDescent="0.25">
      <c r="A18">
        <v>8</v>
      </c>
      <c r="B18" t="s">
        <v>31</v>
      </c>
      <c r="C18" t="s">
        <v>35</v>
      </c>
    </row>
    <row r="19" spans="1:3" hidden="1" x14ac:dyDescent="0.25">
      <c r="A19">
        <v>9.9</v>
      </c>
      <c r="B19" t="s">
        <v>24</v>
      </c>
      <c r="C19" t="s">
        <v>41</v>
      </c>
    </row>
    <row r="20" spans="1:3" hidden="1" x14ac:dyDescent="0.25">
      <c r="A20">
        <v>10</v>
      </c>
      <c r="B20" t="s">
        <v>22</v>
      </c>
      <c r="C20" t="s">
        <v>35</v>
      </c>
    </row>
    <row r="21" spans="1:3" hidden="1" x14ac:dyDescent="0.25">
      <c r="A21">
        <v>10</v>
      </c>
      <c r="B21" t="s">
        <v>22</v>
      </c>
      <c r="C21" t="s">
        <v>38</v>
      </c>
    </row>
    <row r="22" spans="1:3" hidden="1" x14ac:dyDescent="0.25">
      <c r="A22">
        <v>10</v>
      </c>
      <c r="B22" t="s">
        <v>23</v>
      </c>
      <c r="C22" t="s">
        <v>35</v>
      </c>
    </row>
    <row r="23" spans="1:3" hidden="1" x14ac:dyDescent="0.25">
      <c r="A23">
        <v>10</v>
      </c>
      <c r="B23" t="s">
        <v>23</v>
      </c>
      <c r="C23" t="s">
        <v>35</v>
      </c>
    </row>
    <row r="24" spans="1:3" hidden="1" x14ac:dyDescent="0.25">
      <c r="A24">
        <v>10</v>
      </c>
      <c r="B24" t="s">
        <v>23</v>
      </c>
      <c r="C24" t="s">
        <v>35</v>
      </c>
    </row>
    <row r="25" spans="1:3" hidden="1" x14ac:dyDescent="0.25">
      <c r="A25">
        <v>10</v>
      </c>
      <c r="B25" t="s">
        <v>23</v>
      </c>
      <c r="C25" t="s">
        <v>37</v>
      </c>
    </row>
    <row r="26" spans="1:3" hidden="1" x14ac:dyDescent="0.25">
      <c r="A26">
        <v>10</v>
      </c>
      <c r="B26" t="s">
        <v>23</v>
      </c>
      <c r="C26" t="s">
        <v>38</v>
      </c>
    </row>
    <row r="27" spans="1:3" hidden="1" x14ac:dyDescent="0.25">
      <c r="A27">
        <v>10</v>
      </c>
      <c r="B27" t="s">
        <v>24</v>
      </c>
      <c r="C27" t="s">
        <v>43</v>
      </c>
    </row>
    <row r="28" spans="1:3" hidden="1" x14ac:dyDescent="0.25">
      <c r="A28">
        <v>10</v>
      </c>
      <c r="B28" t="s">
        <v>24</v>
      </c>
      <c r="C28" t="s">
        <v>35</v>
      </c>
    </row>
    <row r="29" spans="1:3" hidden="1" x14ac:dyDescent="0.25">
      <c r="A29">
        <v>10</v>
      </c>
      <c r="B29" t="s">
        <v>24</v>
      </c>
      <c r="C29" t="s">
        <v>35</v>
      </c>
    </row>
    <row r="30" spans="1:3" hidden="1" x14ac:dyDescent="0.25">
      <c r="A30">
        <v>10</v>
      </c>
      <c r="B30" t="s">
        <v>24</v>
      </c>
      <c r="C30" t="s">
        <v>35</v>
      </c>
    </row>
    <row r="31" spans="1:3" hidden="1" x14ac:dyDescent="0.25">
      <c r="A31">
        <v>10</v>
      </c>
      <c r="B31" t="s">
        <v>24</v>
      </c>
      <c r="C31" t="s">
        <v>41</v>
      </c>
    </row>
    <row r="32" spans="1:3" hidden="1" x14ac:dyDescent="0.25">
      <c r="A32">
        <v>10</v>
      </c>
      <c r="B32" t="s">
        <v>25</v>
      </c>
      <c r="C32" t="s">
        <v>35</v>
      </c>
    </row>
    <row r="33" spans="1:3" hidden="1" x14ac:dyDescent="0.25">
      <c r="A33">
        <v>10</v>
      </c>
      <c r="B33" t="s">
        <v>25</v>
      </c>
      <c r="C33" t="s">
        <v>39</v>
      </c>
    </row>
    <row r="34" spans="1:3" hidden="1" x14ac:dyDescent="0.25">
      <c r="A34">
        <v>10</v>
      </c>
      <c r="B34" t="s">
        <v>25</v>
      </c>
      <c r="C34" t="s">
        <v>41</v>
      </c>
    </row>
    <row r="35" spans="1:3" hidden="1" x14ac:dyDescent="0.25">
      <c r="A35">
        <v>10</v>
      </c>
      <c r="B35" t="s">
        <v>26</v>
      </c>
      <c r="C35" t="s">
        <v>35</v>
      </c>
    </row>
    <row r="36" spans="1:3" hidden="1" x14ac:dyDescent="0.25">
      <c r="A36">
        <v>10</v>
      </c>
      <c r="B36" t="s">
        <v>26</v>
      </c>
      <c r="C36" t="s">
        <v>35</v>
      </c>
    </row>
    <row r="37" spans="1:3" hidden="1" x14ac:dyDescent="0.25">
      <c r="A37">
        <v>10</v>
      </c>
      <c r="B37" t="s">
        <v>26</v>
      </c>
      <c r="C37" t="s">
        <v>35</v>
      </c>
    </row>
    <row r="38" spans="1:3" hidden="1" x14ac:dyDescent="0.25">
      <c r="A38">
        <v>10</v>
      </c>
      <c r="B38" t="s">
        <v>26</v>
      </c>
      <c r="C38" t="s">
        <v>38</v>
      </c>
    </row>
    <row r="39" spans="1:3" hidden="1" x14ac:dyDescent="0.25">
      <c r="A39">
        <v>10</v>
      </c>
      <c r="B39" t="s">
        <v>26</v>
      </c>
      <c r="C39" t="s">
        <v>38</v>
      </c>
    </row>
    <row r="40" spans="1:3" hidden="1" x14ac:dyDescent="0.25">
      <c r="A40">
        <v>10</v>
      </c>
      <c r="B40" t="s">
        <v>27</v>
      </c>
      <c r="C40" t="s">
        <v>35</v>
      </c>
    </row>
    <row r="41" spans="1:3" hidden="1" x14ac:dyDescent="0.25">
      <c r="A41">
        <v>10</v>
      </c>
      <c r="B41" t="s">
        <v>27</v>
      </c>
      <c r="C41" t="s">
        <v>35</v>
      </c>
    </row>
    <row r="42" spans="1:3" hidden="1" x14ac:dyDescent="0.25">
      <c r="A42">
        <v>10</v>
      </c>
      <c r="B42" t="s">
        <v>27</v>
      </c>
      <c r="C42" t="s">
        <v>35</v>
      </c>
    </row>
    <row r="43" spans="1:3" hidden="1" x14ac:dyDescent="0.25">
      <c r="A43">
        <v>10</v>
      </c>
      <c r="B43" t="s">
        <v>27</v>
      </c>
      <c r="C43" t="s">
        <v>38</v>
      </c>
    </row>
    <row r="44" spans="1:3" hidden="1" x14ac:dyDescent="0.25">
      <c r="A44">
        <v>10</v>
      </c>
      <c r="B44" t="s">
        <v>29</v>
      </c>
      <c r="C44" t="s">
        <v>35</v>
      </c>
    </row>
    <row r="45" spans="1:3" hidden="1" x14ac:dyDescent="0.25">
      <c r="A45">
        <v>10</v>
      </c>
      <c r="B45" t="s">
        <v>30</v>
      </c>
      <c r="C45" t="s">
        <v>35</v>
      </c>
    </row>
    <row r="46" spans="1:3" hidden="1" x14ac:dyDescent="0.25">
      <c r="A46">
        <v>10</v>
      </c>
      <c r="B46" t="s">
        <v>30</v>
      </c>
      <c r="C46" t="s">
        <v>41</v>
      </c>
    </row>
    <row r="47" spans="1:3" hidden="1" x14ac:dyDescent="0.25">
      <c r="A47">
        <v>10</v>
      </c>
      <c r="B47" t="s">
        <v>30</v>
      </c>
      <c r="C47" t="s">
        <v>41</v>
      </c>
    </row>
    <row r="48" spans="1:3" hidden="1" x14ac:dyDescent="0.25">
      <c r="A48">
        <v>10</v>
      </c>
      <c r="B48" t="s">
        <v>31</v>
      </c>
      <c r="C48" t="s">
        <v>35</v>
      </c>
    </row>
    <row r="49" spans="1:3" hidden="1" x14ac:dyDescent="0.25">
      <c r="A49">
        <v>10</v>
      </c>
      <c r="B49" t="s">
        <v>31</v>
      </c>
      <c r="C49" t="s">
        <v>37</v>
      </c>
    </row>
    <row r="50" spans="1:3" hidden="1" x14ac:dyDescent="0.25">
      <c r="A50">
        <v>10</v>
      </c>
      <c r="B50" t="s">
        <v>31</v>
      </c>
      <c r="C50" t="s">
        <v>38</v>
      </c>
    </row>
    <row r="51" spans="1:3" hidden="1" x14ac:dyDescent="0.25">
      <c r="A51">
        <v>10</v>
      </c>
      <c r="B51" t="s">
        <v>32</v>
      </c>
      <c r="C51" t="s">
        <v>35</v>
      </c>
    </row>
    <row r="52" spans="1:3" hidden="1" x14ac:dyDescent="0.25">
      <c r="A52">
        <v>10</v>
      </c>
      <c r="B52" t="s">
        <v>32</v>
      </c>
      <c r="C52" t="s">
        <v>37</v>
      </c>
    </row>
    <row r="53" spans="1:3" hidden="1" x14ac:dyDescent="0.25">
      <c r="A53">
        <v>10.06</v>
      </c>
      <c r="B53" t="s">
        <v>22</v>
      </c>
      <c r="C53" t="s">
        <v>35</v>
      </c>
    </row>
    <row r="54" spans="1:3" hidden="1" x14ac:dyDescent="0.25">
      <c r="A54">
        <v>10.5</v>
      </c>
      <c r="B54" t="s">
        <v>22</v>
      </c>
      <c r="C54" t="s">
        <v>35</v>
      </c>
    </row>
    <row r="55" spans="1:3" hidden="1" x14ac:dyDescent="0.25">
      <c r="A55">
        <v>10.82</v>
      </c>
      <c r="B55" t="s">
        <v>23</v>
      </c>
      <c r="C55" t="s">
        <v>35</v>
      </c>
    </row>
    <row r="56" spans="1:3" hidden="1" x14ac:dyDescent="0.25">
      <c r="A56">
        <v>10.9</v>
      </c>
      <c r="B56" t="s">
        <v>25</v>
      </c>
      <c r="C56" t="s">
        <v>35</v>
      </c>
    </row>
    <row r="57" spans="1:3" hidden="1" x14ac:dyDescent="0.25">
      <c r="A57">
        <v>11.21</v>
      </c>
      <c r="B57" t="s">
        <v>30</v>
      </c>
      <c r="C57" t="s">
        <v>41</v>
      </c>
    </row>
    <row r="58" spans="1:3" hidden="1" x14ac:dyDescent="0.25">
      <c r="A58">
        <v>11.48</v>
      </c>
      <c r="B58" t="s">
        <v>23</v>
      </c>
      <c r="C58" t="s">
        <v>35</v>
      </c>
    </row>
    <row r="59" spans="1:3" hidden="1" x14ac:dyDescent="0.25">
      <c r="A59">
        <v>12</v>
      </c>
      <c r="B59" t="s">
        <v>25</v>
      </c>
      <c r="C59" t="s">
        <v>35</v>
      </c>
    </row>
    <row r="60" spans="1:3" hidden="1" x14ac:dyDescent="0.25">
      <c r="A60">
        <v>12.17</v>
      </c>
      <c r="B60" t="s">
        <v>23</v>
      </c>
      <c r="C60" t="s">
        <v>38</v>
      </c>
    </row>
    <row r="61" spans="1:3" hidden="1" x14ac:dyDescent="0.25">
      <c r="A61">
        <v>12.27</v>
      </c>
      <c r="B61" t="s">
        <v>26</v>
      </c>
      <c r="C61" t="s">
        <v>36</v>
      </c>
    </row>
    <row r="62" spans="1:3" hidden="1" x14ac:dyDescent="0.25">
      <c r="A62">
        <v>12.72</v>
      </c>
      <c r="B62" t="s">
        <v>24</v>
      </c>
      <c r="C62" t="s">
        <v>39</v>
      </c>
    </row>
    <row r="63" spans="1:3" hidden="1" x14ac:dyDescent="0.25">
      <c r="A63">
        <v>12.9</v>
      </c>
      <c r="B63" t="s">
        <v>23</v>
      </c>
      <c r="C63" t="s">
        <v>38</v>
      </c>
    </row>
    <row r="64" spans="1:3" hidden="1" x14ac:dyDescent="0.25">
      <c r="A64">
        <v>12.9</v>
      </c>
      <c r="B64" t="s">
        <v>32</v>
      </c>
      <c r="C64" t="s">
        <v>35</v>
      </c>
    </row>
    <row r="65" spans="1:3" hidden="1" x14ac:dyDescent="0.25">
      <c r="A65">
        <v>13</v>
      </c>
      <c r="B65" t="s">
        <v>23</v>
      </c>
      <c r="C65" t="s">
        <v>38</v>
      </c>
    </row>
    <row r="66" spans="1:3" hidden="1" x14ac:dyDescent="0.25">
      <c r="A66">
        <v>13</v>
      </c>
      <c r="B66" t="s">
        <v>27</v>
      </c>
      <c r="C66" t="s">
        <v>35</v>
      </c>
    </row>
    <row r="67" spans="1:3" hidden="1" x14ac:dyDescent="0.25">
      <c r="A67">
        <v>13</v>
      </c>
      <c r="B67" t="s">
        <v>30</v>
      </c>
      <c r="C67" t="s">
        <v>35</v>
      </c>
    </row>
    <row r="68" spans="1:3" hidden="1" x14ac:dyDescent="0.25">
      <c r="A68">
        <v>14.22</v>
      </c>
      <c r="B68" t="s">
        <v>23</v>
      </c>
      <c r="C68" t="s">
        <v>35</v>
      </c>
    </row>
    <row r="69" spans="1:3" hidden="1" x14ac:dyDescent="0.25">
      <c r="A69">
        <v>14.44</v>
      </c>
      <c r="B69" t="s">
        <v>25</v>
      </c>
      <c r="C69" t="s">
        <v>34</v>
      </c>
    </row>
    <row r="70" spans="1:3" hidden="1" x14ac:dyDescent="0.25">
      <c r="A70">
        <v>14.7</v>
      </c>
      <c r="B70" t="s">
        <v>26</v>
      </c>
      <c r="C70" t="s">
        <v>35</v>
      </c>
    </row>
    <row r="71" spans="1:3" hidden="1" x14ac:dyDescent="0.25">
      <c r="A71">
        <v>15</v>
      </c>
      <c r="B71" t="s">
        <v>23</v>
      </c>
      <c r="C71" t="s">
        <v>35</v>
      </c>
    </row>
    <row r="72" spans="1:3" hidden="1" x14ac:dyDescent="0.25">
      <c r="A72">
        <v>15</v>
      </c>
      <c r="B72" t="s">
        <v>24</v>
      </c>
      <c r="C72" t="s">
        <v>35</v>
      </c>
    </row>
    <row r="73" spans="1:3" hidden="1" x14ac:dyDescent="0.25">
      <c r="A73">
        <v>15</v>
      </c>
      <c r="B73" t="s">
        <v>24</v>
      </c>
      <c r="C73" t="s">
        <v>41</v>
      </c>
    </row>
    <row r="74" spans="1:3" hidden="1" x14ac:dyDescent="0.25">
      <c r="A74">
        <v>15</v>
      </c>
      <c r="B74" t="s">
        <v>25</v>
      </c>
      <c r="C74" t="s">
        <v>46</v>
      </c>
    </row>
    <row r="75" spans="1:3" hidden="1" x14ac:dyDescent="0.25">
      <c r="A75">
        <v>15</v>
      </c>
      <c r="B75" t="s">
        <v>25</v>
      </c>
      <c r="C75" t="s">
        <v>38</v>
      </c>
    </row>
    <row r="76" spans="1:3" hidden="1" x14ac:dyDescent="0.25">
      <c r="A76">
        <v>15</v>
      </c>
      <c r="B76" t="s">
        <v>26</v>
      </c>
      <c r="C76" t="s">
        <v>35</v>
      </c>
    </row>
    <row r="77" spans="1:3" hidden="1" x14ac:dyDescent="0.25">
      <c r="A77">
        <v>15</v>
      </c>
      <c r="B77" t="s">
        <v>26</v>
      </c>
      <c r="C77" t="s">
        <v>35</v>
      </c>
    </row>
    <row r="78" spans="1:3" hidden="1" x14ac:dyDescent="0.25">
      <c r="A78">
        <v>15</v>
      </c>
      <c r="B78" t="s">
        <v>26</v>
      </c>
      <c r="C78" t="s">
        <v>35</v>
      </c>
    </row>
    <row r="79" spans="1:3" hidden="1" x14ac:dyDescent="0.25">
      <c r="A79">
        <v>15</v>
      </c>
      <c r="B79" t="s">
        <v>26</v>
      </c>
      <c r="C79" t="s">
        <v>36</v>
      </c>
    </row>
    <row r="80" spans="1:3" hidden="1" x14ac:dyDescent="0.25">
      <c r="A80">
        <v>15</v>
      </c>
      <c r="B80" t="s">
        <v>26</v>
      </c>
      <c r="C80" t="s">
        <v>55</v>
      </c>
    </row>
    <row r="81" spans="1:3" hidden="1" x14ac:dyDescent="0.25">
      <c r="A81">
        <v>15</v>
      </c>
      <c r="B81" t="s">
        <v>27</v>
      </c>
      <c r="C81" t="s">
        <v>35</v>
      </c>
    </row>
    <row r="82" spans="1:3" hidden="1" x14ac:dyDescent="0.25">
      <c r="A82">
        <v>15</v>
      </c>
      <c r="B82" t="s">
        <v>27</v>
      </c>
      <c r="C82" t="s">
        <v>38</v>
      </c>
    </row>
    <row r="83" spans="1:3" hidden="1" x14ac:dyDescent="0.25">
      <c r="A83">
        <v>15</v>
      </c>
      <c r="B83" t="s">
        <v>28</v>
      </c>
      <c r="C83" t="s">
        <v>35</v>
      </c>
    </row>
    <row r="84" spans="1:3" hidden="1" x14ac:dyDescent="0.25">
      <c r="A84">
        <v>15</v>
      </c>
      <c r="B84" t="s">
        <v>30</v>
      </c>
      <c r="C84" t="s">
        <v>35</v>
      </c>
    </row>
    <row r="85" spans="1:3" hidden="1" x14ac:dyDescent="0.25">
      <c r="A85">
        <v>15</v>
      </c>
      <c r="B85" t="s">
        <v>30</v>
      </c>
      <c r="C85" t="s">
        <v>35</v>
      </c>
    </row>
    <row r="86" spans="1:3" hidden="1" x14ac:dyDescent="0.25">
      <c r="A86">
        <v>15</v>
      </c>
      <c r="B86" t="s">
        <v>31</v>
      </c>
      <c r="C86" t="s">
        <v>35</v>
      </c>
    </row>
    <row r="87" spans="1:3" hidden="1" x14ac:dyDescent="0.25">
      <c r="A87">
        <v>15</v>
      </c>
      <c r="B87" t="s">
        <v>31</v>
      </c>
      <c r="C87" t="s">
        <v>38</v>
      </c>
    </row>
    <row r="88" spans="1:3" hidden="1" x14ac:dyDescent="0.25">
      <c r="A88">
        <v>15</v>
      </c>
      <c r="B88" t="s">
        <v>32</v>
      </c>
      <c r="C88" t="s">
        <v>35</v>
      </c>
    </row>
    <row r="89" spans="1:3" hidden="1" x14ac:dyDescent="0.25">
      <c r="A89">
        <v>15</v>
      </c>
      <c r="B89" t="s">
        <v>32</v>
      </c>
      <c r="C89" t="s">
        <v>41</v>
      </c>
    </row>
    <row r="90" spans="1:3" hidden="1" x14ac:dyDescent="0.25">
      <c r="A90">
        <v>15.19</v>
      </c>
      <c r="B90" t="s">
        <v>30</v>
      </c>
      <c r="C90" t="s">
        <v>35</v>
      </c>
    </row>
    <row r="91" spans="1:3" hidden="1" x14ac:dyDescent="0.25">
      <c r="A91">
        <v>15.61</v>
      </c>
      <c r="B91" t="s">
        <v>25</v>
      </c>
      <c r="C91" t="s">
        <v>41</v>
      </c>
    </row>
    <row r="92" spans="1:3" hidden="1" x14ac:dyDescent="0.25">
      <c r="A92">
        <v>15.86</v>
      </c>
      <c r="B92" t="s">
        <v>32</v>
      </c>
      <c r="C92" t="s">
        <v>35</v>
      </c>
    </row>
    <row r="93" spans="1:3" hidden="1" x14ac:dyDescent="0.25">
      <c r="A93">
        <v>16</v>
      </c>
      <c r="B93" t="s">
        <v>24</v>
      </c>
      <c r="C93" t="s">
        <v>43</v>
      </c>
    </row>
    <row r="94" spans="1:3" hidden="1" x14ac:dyDescent="0.25">
      <c r="A94">
        <v>16</v>
      </c>
      <c r="B94" t="s">
        <v>26</v>
      </c>
      <c r="C94" t="s">
        <v>41</v>
      </c>
    </row>
    <row r="95" spans="1:3" hidden="1" x14ac:dyDescent="0.25">
      <c r="A95">
        <v>16.059999999999999</v>
      </c>
      <c r="B95" t="s">
        <v>26</v>
      </c>
      <c r="C95" t="s">
        <v>35</v>
      </c>
    </row>
    <row r="96" spans="1:3" hidden="1" x14ac:dyDescent="0.25">
      <c r="A96">
        <v>16.350000000000001</v>
      </c>
      <c r="B96" t="s">
        <v>26</v>
      </c>
      <c r="C96" t="s">
        <v>41</v>
      </c>
    </row>
    <row r="97" spans="1:3" hidden="1" x14ac:dyDescent="0.25">
      <c r="A97">
        <v>17</v>
      </c>
      <c r="B97" t="s">
        <v>28</v>
      </c>
      <c r="C97" t="s">
        <v>46</v>
      </c>
    </row>
    <row r="98" spans="1:3" hidden="1" x14ac:dyDescent="0.25">
      <c r="A98">
        <v>17</v>
      </c>
      <c r="B98" t="s">
        <v>29</v>
      </c>
      <c r="C98" t="s">
        <v>35</v>
      </c>
    </row>
    <row r="99" spans="1:3" hidden="1" x14ac:dyDescent="0.25">
      <c r="A99">
        <v>17.21</v>
      </c>
      <c r="B99" t="s">
        <v>29</v>
      </c>
      <c r="C99" t="s">
        <v>43</v>
      </c>
    </row>
    <row r="100" spans="1:3" hidden="1" x14ac:dyDescent="0.25">
      <c r="A100">
        <v>17.73</v>
      </c>
      <c r="B100" t="s">
        <v>23</v>
      </c>
      <c r="C100" t="s">
        <v>39</v>
      </c>
    </row>
    <row r="101" spans="1:3" hidden="1" x14ac:dyDescent="0.25">
      <c r="A101">
        <v>17.86</v>
      </c>
      <c r="B101" t="s">
        <v>27</v>
      </c>
      <c r="C101" t="s">
        <v>35</v>
      </c>
    </row>
    <row r="102" spans="1:3" hidden="1" x14ac:dyDescent="0.25">
      <c r="A102">
        <v>18</v>
      </c>
      <c r="B102" t="s">
        <v>24</v>
      </c>
      <c r="C102" t="s">
        <v>35</v>
      </c>
    </row>
    <row r="103" spans="1:3" hidden="1" x14ac:dyDescent="0.25">
      <c r="A103">
        <v>18.22</v>
      </c>
      <c r="B103" t="s">
        <v>25</v>
      </c>
      <c r="C103" t="s">
        <v>34</v>
      </c>
    </row>
    <row r="104" spans="1:3" hidden="1" x14ac:dyDescent="0.25">
      <c r="A104">
        <v>18.46</v>
      </c>
      <c r="B104" t="s">
        <v>25</v>
      </c>
      <c r="C104" t="s">
        <v>41</v>
      </c>
    </row>
    <row r="105" spans="1:3" hidden="1" x14ac:dyDescent="0.25">
      <c r="A105">
        <v>19</v>
      </c>
      <c r="B105" t="s">
        <v>23</v>
      </c>
      <c r="C105" t="s">
        <v>41</v>
      </c>
    </row>
    <row r="106" spans="1:3" hidden="1" x14ac:dyDescent="0.25">
      <c r="A106">
        <v>19</v>
      </c>
      <c r="B106" t="s">
        <v>27</v>
      </c>
      <c r="C106" t="s">
        <v>35</v>
      </c>
    </row>
    <row r="107" spans="1:3" hidden="1" x14ac:dyDescent="0.25">
      <c r="A107">
        <v>19.350000000000001</v>
      </c>
      <c r="B107" t="s">
        <v>22</v>
      </c>
      <c r="C107" t="s">
        <v>37</v>
      </c>
    </row>
    <row r="108" spans="1:3" hidden="1" x14ac:dyDescent="0.25">
      <c r="A108">
        <v>19.350000000000001</v>
      </c>
      <c r="B108" t="s">
        <v>23</v>
      </c>
      <c r="C108" t="s">
        <v>38</v>
      </c>
    </row>
    <row r="109" spans="1:3" hidden="1" x14ac:dyDescent="0.25">
      <c r="A109">
        <v>19.350000000000001</v>
      </c>
      <c r="B109" t="s">
        <v>26</v>
      </c>
      <c r="C109" t="s">
        <v>38</v>
      </c>
    </row>
    <row r="110" spans="1:3" hidden="1" x14ac:dyDescent="0.25">
      <c r="A110">
        <v>19.36</v>
      </c>
      <c r="B110" t="s">
        <v>26</v>
      </c>
      <c r="C110" t="s">
        <v>38</v>
      </c>
    </row>
    <row r="111" spans="1:3" hidden="1" x14ac:dyDescent="0.25">
      <c r="A111">
        <v>19.61</v>
      </c>
      <c r="B111" t="s">
        <v>32</v>
      </c>
      <c r="C111" t="s">
        <v>35</v>
      </c>
    </row>
    <row r="112" spans="1:3" hidden="1" x14ac:dyDescent="0.25">
      <c r="A112">
        <v>19.739999999999998</v>
      </c>
      <c r="B112" t="s">
        <v>30</v>
      </c>
      <c r="C112" t="s">
        <v>53</v>
      </c>
    </row>
    <row r="113" spans="1:3" hidden="1" x14ac:dyDescent="0.25">
      <c r="A113">
        <v>19.989999999999998</v>
      </c>
      <c r="B113" t="s">
        <v>26</v>
      </c>
      <c r="C113" t="s">
        <v>38</v>
      </c>
    </row>
    <row r="114" spans="1:3" hidden="1" x14ac:dyDescent="0.25">
      <c r="A114">
        <v>20</v>
      </c>
      <c r="B114" t="s">
        <v>22</v>
      </c>
      <c r="C114" t="s">
        <v>35</v>
      </c>
    </row>
    <row r="115" spans="1:3" hidden="1" x14ac:dyDescent="0.25">
      <c r="A115">
        <v>20</v>
      </c>
      <c r="B115" t="s">
        <v>22</v>
      </c>
      <c r="C115" t="s">
        <v>38</v>
      </c>
    </row>
    <row r="116" spans="1:3" hidden="1" x14ac:dyDescent="0.25">
      <c r="A116">
        <v>20</v>
      </c>
      <c r="B116" t="s">
        <v>22</v>
      </c>
      <c r="C116" t="s">
        <v>40</v>
      </c>
    </row>
    <row r="117" spans="1:3" hidden="1" x14ac:dyDescent="0.25">
      <c r="A117">
        <v>20</v>
      </c>
      <c r="B117" t="s">
        <v>23</v>
      </c>
      <c r="C117" t="s">
        <v>45</v>
      </c>
    </row>
    <row r="118" spans="1:3" hidden="1" x14ac:dyDescent="0.25">
      <c r="A118">
        <v>20</v>
      </c>
      <c r="B118" t="s">
        <v>23</v>
      </c>
      <c r="C118" t="s">
        <v>35</v>
      </c>
    </row>
    <row r="119" spans="1:3" hidden="1" x14ac:dyDescent="0.25">
      <c r="A119">
        <v>20</v>
      </c>
      <c r="B119" t="s">
        <v>23</v>
      </c>
      <c r="C119" t="s">
        <v>37</v>
      </c>
    </row>
    <row r="120" spans="1:3" hidden="1" x14ac:dyDescent="0.25">
      <c r="A120">
        <v>20</v>
      </c>
      <c r="B120" t="s">
        <v>23</v>
      </c>
      <c r="C120" t="s">
        <v>38</v>
      </c>
    </row>
    <row r="121" spans="1:3" hidden="1" x14ac:dyDescent="0.25">
      <c r="A121">
        <v>20</v>
      </c>
      <c r="B121" t="s">
        <v>23</v>
      </c>
      <c r="C121" t="s">
        <v>38</v>
      </c>
    </row>
    <row r="122" spans="1:3" hidden="1" x14ac:dyDescent="0.25">
      <c r="A122">
        <v>20</v>
      </c>
      <c r="B122" t="s">
        <v>23</v>
      </c>
      <c r="C122" t="s">
        <v>38</v>
      </c>
    </row>
    <row r="123" spans="1:3" hidden="1" x14ac:dyDescent="0.25">
      <c r="A123">
        <v>20</v>
      </c>
      <c r="B123" t="s">
        <v>23</v>
      </c>
      <c r="C123" t="s">
        <v>41</v>
      </c>
    </row>
    <row r="124" spans="1:3" hidden="1" x14ac:dyDescent="0.25">
      <c r="A124">
        <v>20</v>
      </c>
      <c r="B124" t="s">
        <v>23</v>
      </c>
      <c r="C124" t="s">
        <v>41</v>
      </c>
    </row>
    <row r="125" spans="1:3" hidden="1" x14ac:dyDescent="0.25">
      <c r="A125">
        <v>20</v>
      </c>
      <c r="B125" t="s">
        <v>24</v>
      </c>
      <c r="C125" t="s">
        <v>43</v>
      </c>
    </row>
    <row r="126" spans="1:3" hidden="1" x14ac:dyDescent="0.25">
      <c r="A126">
        <v>20</v>
      </c>
      <c r="B126" t="s">
        <v>24</v>
      </c>
      <c r="C126" t="s">
        <v>43</v>
      </c>
    </row>
    <row r="127" spans="1:3" hidden="1" x14ac:dyDescent="0.25">
      <c r="A127">
        <v>20</v>
      </c>
      <c r="B127" t="s">
        <v>24</v>
      </c>
      <c r="C127" t="s">
        <v>43</v>
      </c>
    </row>
    <row r="128" spans="1:3" hidden="1" x14ac:dyDescent="0.25">
      <c r="A128">
        <v>20</v>
      </c>
      <c r="B128" t="s">
        <v>24</v>
      </c>
      <c r="C128" t="s">
        <v>35</v>
      </c>
    </row>
    <row r="129" spans="1:3" hidden="1" x14ac:dyDescent="0.25">
      <c r="A129">
        <v>20</v>
      </c>
      <c r="B129" t="s">
        <v>24</v>
      </c>
      <c r="C129" t="s">
        <v>35</v>
      </c>
    </row>
    <row r="130" spans="1:3" hidden="1" x14ac:dyDescent="0.25">
      <c r="A130">
        <v>20</v>
      </c>
      <c r="B130" t="s">
        <v>24</v>
      </c>
      <c r="C130" t="s">
        <v>35</v>
      </c>
    </row>
    <row r="131" spans="1:3" hidden="1" x14ac:dyDescent="0.25">
      <c r="A131">
        <v>20</v>
      </c>
      <c r="B131" t="s">
        <v>24</v>
      </c>
      <c r="C131" t="s">
        <v>35</v>
      </c>
    </row>
    <row r="132" spans="1:3" hidden="1" x14ac:dyDescent="0.25">
      <c r="A132">
        <v>20</v>
      </c>
      <c r="B132" t="s">
        <v>24</v>
      </c>
      <c r="C132" t="s">
        <v>35</v>
      </c>
    </row>
    <row r="133" spans="1:3" hidden="1" x14ac:dyDescent="0.25">
      <c r="A133">
        <v>20</v>
      </c>
      <c r="B133" t="s">
        <v>24</v>
      </c>
      <c r="C133" t="s">
        <v>35</v>
      </c>
    </row>
    <row r="134" spans="1:3" hidden="1" x14ac:dyDescent="0.25">
      <c r="A134">
        <v>20</v>
      </c>
      <c r="B134" t="s">
        <v>24</v>
      </c>
      <c r="C134" t="s">
        <v>35</v>
      </c>
    </row>
    <row r="135" spans="1:3" hidden="1" x14ac:dyDescent="0.25">
      <c r="A135">
        <v>20</v>
      </c>
      <c r="B135" t="s">
        <v>24</v>
      </c>
      <c r="C135" t="s">
        <v>35</v>
      </c>
    </row>
    <row r="136" spans="1:3" hidden="1" x14ac:dyDescent="0.25">
      <c r="A136">
        <v>20</v>
      </c>
      <c r="B136" t="s">
        <v>24</v>
      </c>
      <c r="C136" t="s">
        <v>38</v>
      </c>
    </row>
    <row r="137" spans="1:3" hidden="1" x14ac:dyDescent="0.25">
      <c r="A137">
        <v>20</v>
      </c>
      <c r="B137" t="s">
        <v>24</v>
      </c>
      <c r="C137" t="s">
        <v>38</v>
      </c>
    </row>
    <row r="138" spans="1:3" hidden="1" x14ac:dyDescent="0.25">
      <c r="A138">
        <v>20</v>
      </c>
      <c r="B138" t="s">
        <v>24</v>
      </c>
      <c r="C138" t="s">
        <v>38</v>
      </c>
    </row>
    <row r="139" spans="1:3" hidden="1" x14ac:dyDescent="0.25">
      <c r="A139">
        <v>20</v>
      </c>
      <c r="B139" t="s">
        <v>24</v>
      </c>
      <c r="C139" t="s">
        <v>38</v>
      </c>
    </row>
    <row r="140" spans="1:3" hidden="1" x14ac:dyDescent="0.25">
      <c r="A140">
        <v>20</v>
      </c>
      <c r="B140" t="s">
        <v>24</v>
      </c>
      <c r="C140" t="s">
        <v>38</v>
      </c>
    </row>
    <row r="141" spans="1:3" hidden="1" x14ac:dyDescent="0.25">
      <c r="A141">
        <v>20</v>
      </c>
      <c r="B141" t="s">
        <v>24</v>
      </c>
      <c r="C141" t="s">
        <v>39</v>
      </c>
    </row>
    <row r="142" spans="1:3" hidden="1" x14ac:dyDescent="0.25">
      <c r="A142">
        <v>20</v>
      </c>
      <c r="B142" t="s">
        <v>24</v>
      </c>
      <c r="C142" t="s">
        <v>41</v>
      </c>
    </row>
    <row r="143" spans="1:3" hidden="1" x14ac:dyDescent="0.25">
      <c r="A143">
        <v>20</v>
      </c>
      <c r="B143" t="s">
        <v>25</v>
      </c>
      <c r="C143" t="s">
        <v>35</v>
      </c>
    </row>
    <row r="144" spans="1:3" hidden="1" x14ac:dyDescent="0.25">
      <c r="A144">
        <v>20</v>
      </c>
      <c r="B144" t="s">
        <v>25</v>
      </c>
      <c r="C144" t="s">
        <v>35</v>
      </c>
    </row>
    <row r="145" spans="1:3" hidden="1" x14ac:dyDescent="0.25">
      <c r="A145">
        <v>20</v>
      </c>
      <c r="B145" t="s">
        <v>25</v>
      </c>
      <c r="C145" t="s">
        <v>35</v>
      </c>
    </row>
    <row r="146" spans="1:3" hidden="1" x14ac:dyDescent="0.25">
      <c r="A146">
        <v>20</v>
      </c>
      <c r="B146" t="s">
        <v>25</v>
      </c>
      <c r="C146" t="s">
        <v>35</v>
      </c>
    </row>
    <row r="147" spans="1:3" hidden="1" x14ac:dyDescent="0.25">
      <c r="A147">
        <v>20</v>
      </c>
      <c r="B147" t="s">
        <v>25</v>
      </c>
      <c r="C147" t="s">
        <v>38</v>
      </c>
    </row>
    <row r="148" spans="1:3" hidden="1" x14ac:dyDescent="0.25">
      <c r="A148">
        <v>20</v>
      </c>
      <c r="B148" t="s">
        <v>25</v>
      </c>
      <c r="C148" t="s">
        <v>38</v>
      </c>
    </row>
    <row r="149" spans="1:3" hidden="1" x14ac:dyDescent="0.25">
      <c r="A149">
        <v>20</v>
      </c>
      <c r="B149" t="s">
        <v>25</v>
      </c>
      <c r="C149" t="s">
        <v>38</v>
      </c>
    </row>
    <row r="150" spans="1:3" hidden="1" x14ac:dyDescent="0.25">
      <c r="A150">
        <v>20</v>
      </c>
      <c r="B150" t="s">
        <v>25</v>
      </c>
      <c r="C150" t="s">
        <v>41</v>
      </c>
    </row>
    <row r="151" spans="1:3" hidden="1" x14ac:dyDescent="0.25">
      <c r="A151">
        <v>20</v>
      </c>
      <c r="B151" t="s">
        <v>26</v>
      </c>
      <c r="C151" t="s">
        <v>43</v>
      </c>
    </row>
    <row r="152" spans="1:3" hidden="1" x14ac:dyDescent="0.25">
      <c r="A152">
        <v>20</v>
      </c>
      <c r="B152" t="s">
        <v>26</v>
      </c>
      <c r="C152" t="s">
        <v>35</v>
      </c>
    </row>
    <row r="153" spans="1:3" hidden="1" x14ac:dyDescent="0.25">
      <c r="A153">
        <v>20</v>
      </c>
      <c r="B153" t="s">
        <v>26</v>
      </c>
      <c r="C153" t="s">
        <v>38</v>
      </c>
    </row>
    <row r="154" spans="1:3" hidden="1" x14ac:dyDescent="0.25">
      <c r="A154">
        <v>20</v>
      </c>
      <c r="B154" t="s">
        <v>26</v>
      </c>
      <c r="C154" t="s">
        <v>38</v>
      </c>
    </row>
    <row r="155" spans="1:3" hidden="1" x14ac:dyDescent="0.25">
      <c r="A155">
        <v>20</v>
      </c>
      <c r="B155" t="s">
        <v>26</v>
      </c>
      <c r="C155" t="s">
        <v>38</v>
      </c>
    </row>
    <row r="156" spans="1:3" hidden="1" x14ac:dyDescent="0.25">
      <c r="A156">
        <v>20</v>
      </c>
      <c r="B156" t="s">
        <v>26</v>
      </c>
      <c r="C156" t="s">
        <v>39</v>
      </c>
    </row>
    <row r="157" spans="1:3" hidden="1" x14ac:dyDescent="0.25">
      <c r="A157">
        <v>20</v>
      </c>
      <c r="B157" t="s">
        <v>26</v>
      </c>
      <c r="C157" t="s">
        <v>39</v>
      </c>
    </row>
    <row r="158" spans="1:3" hidden="1" x14ac:dyDescent="0.25">
      <c r="A158">
        <v>20</v>
      </c>
      <c r="B158" t="s">
        <v>26</v>
      </c>
      <c r="C158" t="s">
        <v>41</v>
      </c>
    </row>
    <row r="159" spans="1:3" hidden="1" x14ac:dyDescent="0.25">
      <c r="A159">
        <v>20</v>
      </c>
      <c r="B159" t="s">
        <v>26</v>
      </c>
      <c r="C159" t="s">
        <v>41</v>
      </c>
    </row>
    <row r="160" spans="1:3" hidden="1" x14ac:dyDescent="0.25">
      <c r="A160">
        <v>20</v>
      </c>
      <c r="B160" t="s">
        <v>27</v>
      </c>
      <c r="C160" t="s">
        <v>43</v>
      </c>
    </row>
    <row r="161" spans="1:3" hidden="1" x14ac:dyDescent="0.25">
      <c r="A161">
        <v>20</v>
      </c>
      <c r="B161" t="s">
        <v>27</v>
      </c>
      <c r="C161" t="s">
        <v>35</v>
      </c>
    </row>
    <row r="162" spans="1:3" hidden="1" x14ac:dyDescent="0.25">
      <c r="A162">
        <v>20</v>
      </c>
      <c r="B162" t="s">
        <v>27</v>
      </c>
      <c r="C162" t="s">
        <v>35</v>
      </c>
    </row>
    <row r="163" spans="1:3" hidden="1" x14ac:dyDescent="0.25">
      <c r="A163">
        <v>20</v>
      </c>
      <c r="B163" t="s">
        <v>27</v>
      </c>
      <c r="C163" t="s">
        <v>37</v>
      </c>
    </row>
    <row r="164" spans="1:3" hidden="1" x14ac:dyDescent="0.25">
      <c r="A164">
        <v>20</v>
      </c>
      <c r="B164" t="s">
        <v>27</v>
      </c>
      <c r="C164" t="s">
        <v>38</v>
      </c>
    </row>
    <row r="165" spans="1:3" hidden="1" x14ac:dyDescent="0.25">
      <c r="A165">
        <v>20</v>
      </c>
      <c r="B165" t="s">
        <v>27</v>
      </c>
      <c r="C165" t="s">
        <v>38</v>
      </c>
    </row>
    <row r="166" spans="1:3" hidden="1" x14ac:dyDescent="0.25">
      <c r="A166">
        <v>20</v>
      </c>
      <c r="B166" t="s">
        <v>28</v>
      </c>
      <c r="C166" t="s">
        <v>43</v>
      </c>
    </row>
    <row r="167" spans="1:3" hidden="1" x14ac:dyDescent="0.25">
      <c r="A167">
        <v>20</v>
      </c>
      <c r="B167" t="s">
        <v>28</v>
      </c>
      <c r="C167" t="s">
        <v>35</v>
      </c>
    </row>
    <row r="168" spans="1:3" hidden="1" x14ac:dyDescent="0.25">
      <c r="A168">
        <v>20</v>
      </c>
      <c r="B168" t="s">
        <v>28</v>
      </c>
      <c r="C168" t="s">
        <v>35</v>
      </c>
    </row>
    <row r="169" spans="1:3" hidden="1" x14ac:dyDescent="0.25">
      <c r="A169">
        <v>20</v>
      </c>
      <c r="B169" t="s">
        <v>28</v>
      </c>
      <c r="C169" t="s">
        <v>36</v>
      </c>
    </row>
    <row r="170" spans="1:3" hidden="1" x14ac:dyDescent="0.25">
      <c r="A170">
        <v>20</v>
      </c>
      <c r="B170" t="s">
        <v>28</v>
      </c>
      <c r="C170" t="s">
        <v>37</v>
      </c>
    </row>
    <row r="171" spans="1:3" hidden="1" x14ac:dyDescent="0.25">
      <c r="A171">
        <v>20</v>
      </c>
      <c r="B171" t="s">
        <v>28</v>
      </c>
      <c r="C171" t="s">
        <v>37</v>
      </c>
    </row>
    <row r="172" spans="1:3" hidden="1" x14ac:dyDescent="0.25">
      <c r="A172">
        <v>20</v>
      </c>
      <c r="B172" t="s">
        <v>28</v>
      </c>
      <c r="C172" t="s">
        <v>38</v>
      </c>
    </row>
    <row r="173" spans="1:3" hidden="1" x14ac:dyDescent="0.25">
      <c r="A173">
        <v>20</v>
      </c>
      <c r="B173" t="s">
        <v>28</v>
      </c>
      <c r="C173" t="s">
        <v>38</v>
      </c>
    </row>
    <row r="174" spans="1:3" hidden="1" x14ac:dyDescent="0.25">
      <c r="A174">
        <v>20</v>
      </c>
      <c r="B174" t="s">
        <v>28</v>
      </c>
      <c r="C174" t="s">
        <v>38</v>
      </c>
    </row>
    <row r="175" spans="1:3" hidden="1" x14ac:dyDescent="0.25">
      <c r="A175">
        <v>20</v>
      </c>
      <c r="B175" t="s">
        <v>28</v>
      </c>
      <c r="C175" t="s">
        <v>40</v>
      </c>
    </row>
    <row r="176" spans="1:3" hidden="1" x14ac:dyDescent="0.25">
      <c r="A176">
        <v>20</v>
      </c>
      <c r="B176" t="s">
        <v>28</v>
      </c>
      <c r="C176" t="s">
        <v>41</v>
      </c>
    </row>
    <row r="177" spans="1:3" hidden="1" x14ac:dyDescent="0.25">
      <c r="A177">
        <v>20</v>
      </c>
      <c r="B177" t="s">
        <v>28</v>
      </c>
      <c r="C177" t="s">
        <v>41</v>
      </c>
    </row>
    <row r="178" spans="1:3" hidden="1" x14ac:dyDescent="0.25">
      <c r="A178">
        <v>20</v>
      </c>
      <c r="B178" t="s">
        <v>28</v>
      </c>
      <c r="C178" t="s">
        <v>41</v>
      </c>
    </row>
    <row r="179" spans="1:3" hidden="1" x14ac:dyDescent="0.25">
      <c r="A179">
        <v>20</v>
      </c>
      <c r="B179" t="s">
        <v>28</v>
      </c>
      <c r="C179" t="s">
        <v>41</v>
      </c>
    </row>
    <row r="180" spans="1:3" hidden="1" x14ac:dyDescent="0.25">
      <c r="A180">
        <v>20</v>
      </c>
      <c r="B180" t="s">
        <v>29</v>
      </c>
      <c r="C180" t="s">
        <v>35</v>
      </c>
    </row>
    <row r="181" spans="1:3" hidden="1" x14ac:dyDescent="0.25">
      <c r="A181">
        <v>20</v>
      </c>
      <c r="B181" t="s">
        <v>29</v>
      </c>
      <c r="C181" t="s">
        <v>35</v>
      </c>
    </row>
    <row r="182" spans="1:3" hidden="1" x14ac:dyDescent="0.25">
      <c r="A182">
        <v>20</v>
      </c>
      <c r="B182" t="s">
        <v>29</v>
      </c>
      <c r="C182" t="s">
        <v>37</v>
      </c>
    </row>
    <row r="183" spans="1:3" hidden="1" x14ac:dyDescent="0.25">
      <c r="A183">
        <v>20</v>
      </c>
      <c r="B183" t="s">
        <v>30</v>
      </c>
      <c r="C183" t="s">
        <v>35</v>
      </c>
    </row>
    <row r="184" spans="1:3" hidden="1" x14ac:dyDescent="0.25">
      <c r="A184">
        <v>20</v>
      </c>
      <c r="B184" t="s">
        <v>30</v>
      </c>
      <c r="C184" t="s">
        <v>35</v>
      </c>
    </row>
    <row r="185" spans="1:3" hidden="1" x14ac:dyDescent="0.25">
      <c r="A185">
        <v>20</v>
      </c>
      <c r="B185" t="s">
        <v>30</v>
      </c>
      <c r="C185" t="s">
        <v>35</v>
      </c>
    </row>
    <row r="186" spans="1:3" hidden="1" x14ac:dyDescent="0.25">
      <c r="A186">
        <v>20</v>
      </c>
      <c r="B186" t="s">
        <v>30</v>
      </c>
      <c r="C186" t="s">
        <v>35</v>
      </c>
    </row>
    <row r="187" spans="1:3" hidden="1" x14ac:dyDescent="0.25">
      <c r="A187">
        <v>20</v>
      </c>
      <c r="B187" t="s">
        <v>30</v>
      </c>
      <c r="C187" t="s">
        <v>49</v>
      </c>
    </row>
    <row r="188" spans="1:3" hidden="1" x14ac:dyDescent="0.25">
      <c r="A188">
        <v>20</v>
      </c>
      <c r="B188" t="s">
        <v>30</v>
      </c>
      <c r="C188" t="s">
        <v>41</v>
      </c>
    </row>
    <row r="189" spans="1:3" hidden="1" x14ac:dyDescent="0.25">
      <c r="A189">
        <v>20</v>
      </c>
      <c r="B189" t="s">
        <v>30</v>
      </c>
      <c r="C189" t="s">
        <v>41</v>
      </c>
    </row>
    <row r="190" spans="1:3" hidden="1" x14ac:dyDescent="0.25">
      <c r="A190">
        <v>20</v>
      </c>
      <c r="B190" t="s">
        <v>30</v>
      </c>
      <c r="C190" t="s">
        <v>41</v>
      </c>
    </row>
    <row r="191" spans="1:3" hidden="1" x14ac:dyDescent="0.25">
      <c r="A191">
        <v>20</v>
      </c>
      <c r="B191" t="s">
        <v>31</v>
      </c>
      <c r="C191" t="s">
        <v>35</v>
      </c>
    </row>
    <row r="192" spans="1:3" hidden="1" x14ac:dyDescent="0.25">
      <c r="A192">
        <v>20</v>
      </c>
      <c r="B192" t="s">
        <v>31</v>
      </c>
      <c r="C192" t="s">
        <v>38</v>
      </c>
    </row>
    <row r="193" spans="1:3" hidden="1" x14ac:dyDescent="0.25">
      <c r="A193">
        <v>20</v>
      </c>
      <c r="B193" t="s">
        <v>32</v>
      </c>
      <c r="C193" t="s">
        <v>35</v>
      </c>
    </row>
    <row r="194" spans="1:3" hidden="1" x14ac:dyDescent="0.25">
      <c r="A194">
        <v>20</v>
      </c>
      <c r="B194" t="s">
        <v>32</v>
      </c>
      <c r="C194" t="s">
        <v>35</v>
      </c>
    </row>
    <row r="195" spans="1:3" hidden="1" x14ac:dyDescent="0.25">
      <c r="A195">
        <v>20</v>
      </c>
      <c r="B195" t="s">
        <v>32</v>
      </c>
      <c r="C195" t="s">
        <v>35</v>
      </c>
    </row>
    <row r="196" spans="1:3" hidden="1" x14ac:dyDescent="0.25">
      <c r="A196">
        <v>20</v>
      </c>
      <c r="B196" t="s">
        <v>32</v>
      </c>
      <c r="C196" t="s">
        <v>35</v>
      </c>
    </row>
    <row r="197" spans="1:3" hidden="1" x14ac:dyDescent="0.25">
      <c r="A197">
        <v>20</v>
      </c>
      <c r="B197" t="s">
        <v>32</v>
      </c>
      <c r="C197" t="s">
        <v>38</v>
      </c>
    </row>
    <row r="198" spans="1:3" hidden="1" x14ac:dyDescent="0.25">
      <c r="A198">
        <v>20</v>
      </c>
      <c r="B198" t="s">
        <v>32</v>
      </c>
      <c r="C198" t="s">
        <v>38</v>
      </c>
    </row>
    <row r="199" spans="1:3" x14ac:dyDescent="0.25">
      <c r="A199">
        <v>20</v>
      </c>
      <c r="B199" t="s">
        <v>32</v>
      </c>
      <c r="C199" t="s">
        <v>50</v>
      </c>
    </row>
    <row r="200" spans="1:3" x14ac:dyDescent="0.25">
      <c r="A200">
        <v>20.059999999999999</v>
      </c>
      <c r="B200" t="s">
        <v>32</v>
      </c>
      <c r="C200" t="s">
        <v>54</v>
      </c>
    </row>
    <row r="201" spans="1:3" hidden="1" x14ac:dyDescent="0.25">
      <c r="A201">
        <v>20.25</v>
      </c>
      <c r="B201" t="s">
        <v>31</v>
      </c>
      <c r="C201" t="s">
        <v>35</v>
      </c>
    </row>
    <row r="202" spans="1:3" hidden="1" x14ac:dyDescent="0.25">
      <c r="A202">
        <v>20.5</v>
      </c>
      <c r="B202" t="s">
        <v>27</v>
      </c>
      <c r="C202" t="s">
        <v>35</v>
      </c>
    </row>
    <row r="203" spans="1:3" hidden="1" x14ac:dyDescent="0.25">
      <c r="A203">
        <v>20.67</v>
      </c>
      <c r="B203" t="s">
        <v>29</v>
      </c>
      <c r="C203" t="s">
        <v>38</v>
      </c>
    </row>
    <row r="204" spans="1:3" hidden="1" x14ac:dyDescent="0.25">
      <c r="A204">
        <v>20.9</v>
      </c>
      <c r="B204" t="s">
        <v>30</v>
      </c>
      <c r="C204" t="s">
        <v>35</v>
      </c>
    </row>
    <row r="205" spans="1:3" hidden="1" x14ac:dyDescent="0.25">
      <c r="A205">
        <v>21.03</v>
      </c>
      <c r="B205" t="s">
        <v>23</v>
      </c>
      <c r="C205" t="s">
        <v>35</v>
      </c>
    </row>
    <row r="206" spans="1:3" hidden="1" x14ac:dyDescent="0.25">
      <c r="A206">
        <v>21.5</v>
      </c>
      <c r="B206" t="s">
        <v>24</v>
      </c>
      <c r="C206" t="s">
        <v>39</v>
      </c>
    </row>
    <row r="207" spans="1:3" hidden="1" x14ac:dyDescent="0.25">
      <c r="A207">
        <v>22</v>
      </c>
      <c r="B207" t="s">
        <v>24</v>
      </c>
      <c r="C207" t="s">
        <v>35</v>
      </c>
    </row>
    <row r="208" spans="1:3" hidden="1" x14ac:dyDescent="0.25">
      <c r="A208">
        <v>22.2</v>
      </c>
      <c r="B208" t="s">
        <v>26</v>
      </c>
      <c r="C208" t="s">
        <v>39</v>
      </c>
    </row>
    <row r="209" spans="1:3" hidden="1" x14ac:dyDescent="0.25">
      <c r="A209">
        <v>23.05</v>
      </c>
      <c r="B209" t="s">
        <v>23</v>
      </c>
      <c r="C209" t="s">
        <v>35</v>
      </c>
    </row>
    <row r="210" spans="1:3" hidden="1" x14ac:dyDescent="0.25">
      <c r="A210">
        <v>23.17</v>
      </c>
      <c r="B210" t="s">
        <v>32</v>
      </c>
      <c r="C210" t="s">
        <v>37</v>
      </c>
    </row>
    <row r="211" spans="1:3" hidden="1" x14ac:dyDescent="0.25">
      <c r="A211">
        <v>23.21</v>
      </c>
      <c r="B211" t="s">
        <v>27</v>
      </c>
      <c r="C211" t="s">
        <v>35</v>
      </c>
    </row>
    <row r="212" spans="1:3" hidden="1" x14ac:dyDescent="0.25">
      <c r="A212">
        <v>23.29</v>
      </c>
      <c r="B212" t="s">
        <v>27</v>
      </c>
      <c r="C212" t="s">
        <v>35</v>
      </c>
    </row>
    <row r="213" spans="1:3" hidden="1" x14ac:dyDescent="0.25">
      <c r="A213">
        <v>23.33</v>
      </c>
      <c r="B213" t="s">
        <v>26</v>
      </c>
      <c r="C213" t="s">
        <v>35</v>
      </c>
    </row>
    <row r="214" spans="1:3" hidden="1" x14ac:dyDescent="0.25">
      <c r="A214">
        <v>23.39</v>
      </c>
      <c r="B214" t="s">
        <v>26</v>
      </c>
      <c r="C214" t="s">
        <v>37</v>
      </c>
    </row>
    <row r="215" spans="1:3" hidden="1" x14ac:dyDescent="0.25">
      <c r="A215">
        <v>23.65</v>
      </c>
      <c r="B215" t="s">
        <v>25</v>
      </c>
      <c r="C215" t="s">
        <v>34</v>
      </c>
    </row>
    <row r="216" spans="1:3" hidden="1" x14ac:dyDescent="0.25">
      <c r="A216">
        <v>23.91</v>
      </c>
      <c r="B216" t="s">
        <v>23</v>
      </c>
      <c r="C216" t="s">
        <v>39</v>
      </c>
    </row>
    <row r="217" spans="1:3" hidden="1" x14ac:dyDescent="0.25">
      <c r="A217">
        <v>24.05</v>
      </c>
      <c r="B217" t="s">
        <v>27</v>
      </c>
      <c r="C217" t="s">
        <v>35</v>
      </c>
    </row>
    <row r="218" spans="1:3" hidden="1" x14ac:dyDescent="0.25">
      <c r="A218">
        <v>24.15</v>
      </c>
      <c r="B218" t="s">
        <v>23</v>
      </c>
      <c r="C218" t="s">
        <v>39</v>
      </c>
    </row>
    <row r="219" spans="1:3" hidden="1" x14ac:dyDescent="0.25">
      <c r="A219">
        <v>24.35</v>
      </c>
      <c r="B219" t="s">
        <v>32</v>
      </c>
      <c r="C219" t="s">
        <v>38</v>
      </c>
    </row>
    <row r="220" spans="1:3" hidden="1" x14ac:dyDescent="0.25">
      <c r="A220">
        <v>24.4</v>
      </c>
      <c r="B220" t="s">
        <v>29</v>
      </c>
      <c r="C220" t="s">
        <v>35</v>
      </c>
    </row>
    <row r="221" spans="1:3" hidden="1" x14ac:dyDescent="0.25">
      <c r="A221">
        <v>24.45</v>
      </c>
      <c r="B221" t="s">
        <v>26</v>
      </c>
      <c r="C221" t="s">
        <v>35</v>
      </c>
    </row>
    <row r="222" spans="1:3" hidden="1" x14ac:dyDescent="0.25">
      <c r="A222">
        <v>24.57</v>
      </c>
      <c r="B222" t="s">
        <v>26</v>
      </c>
      <c r="C222" t="s">
        <v>55</v>
      </c>
    </row>
    <row r="223" spans="1:3" hidden="1" x14ac:dyDescent="0.25">
      <c r="A223">
        <v>25</v>
      </c>
      <c r="B223" t="s">
        <v>22</v>
      </c>
      <c r="C223" t="s">
        <v>39</v>
      </c>
    </row>
    <row r="224" spans="1:3" hidden="1" x14ac:dyDescent="0.25">
      <c r="A224">
        <v>25</v>
      </c>
      <c r="B224" t="s">
        <v>23</v>
      </c>
      <c r="C224" t="s">
        <v>35</v>
      </c>
    </row>
    <row r="225" spans="1:3" hidden="1" x14ac:dyDescent="0.25">
      <c r="A225">
        <v>25</v>
      </c>
      <c r="B225" t="s">
        <v>23</v>
      </c>
      <c r="C225" t="s">
        <v>41</v>
      </c>
    </row>
    <row r="226" spans="1:3" hidden="1" x14ac:dyDescent="0.25">
      <c r="A226">
        <v>25</v>
      </c>
      <c r="B226" t="s">
        <v>24</v>
      </c>
      <c r="C226" t="s">
        <v>38</v>
      </c>
    </row>
    <row r="227" spans="1:3" hidden="1" x14ac:dyDescent="0.25">
      <c r="A227">
        <v>25</v>
      </c>
      <c r="B227" t="s">
        <v>25</v>
      </c>
      <c r="C227" t="s">
        <v>35</v>
      </c>
    </row>
    <row r="228" spans="1:3" hidden="1" x14ac:dyDescent="0.25">
      <c r="A228">
        <v>25</v>
      </c>
      <c r="B228" t="s">
        <v>27</v>
      </c>
      <c r="C228" t="s">
        <v>41</v>
      </c>
    </row>
    <row r="229" spans="1:3" hidden="1" x14ac:dyDescent="0.25">
      <c r="A229">
        <v>25</v>
      </c>
      <c r="B229" t="s">
        <v>28</v>
      </c>
      <c r="C229" t="s">
        <v>38</v>
      </c>
    </row>
    <row r="230" spans="1:3" hidden="1" x14ac:dyDescent="0.25">
      <c r="A230">
        <v>25</v>
      </c>
      <c r="B230" t="s">
        <v>28</v>
      </c>
      <c r="C230" t="s">
        <v>38</v>
      </c>
    </row>
    <row r="231" spans="1:3" hidden="1" x14ac:dyDescent="0.25">
      <c r="A231">
        <v>25</v>
      </c>
      <c r="B231" t="s">
        <v>29</v>
      </c>
      <c r="C231" t="s">
        <v>38</v>
      </c>
    </row>
    <row r="232" spans="1:3" hidden="1" x14ac:dyDescent="0.25">
      <c r="A232">
        <v>25</v>
      </c>
      <c r="B232" t="s">
        <v>32</v>
      </c>
      <c r="C232" t="s">
        <v>35</v>
      </c>
    </row>
    <row r="233" spans="1:3" hidden="1" x14ac:dyDescent="0.25">
      <c r="A233">
        <v>25</v>
      </c>
      <c r="B233" t="s">
        <v>32</v>
      </c>
      <c r="C233" t="s">
        <v>35</v>
      </c>
    </row>
    <row r="234" spans="1:3" hidden="1" x14ac:dyDescent="0.25">
      <c r="A234">
        <v>25.14</v>
      </c>
      <c r="B234" t="s">
        <v>24</v>
      </c>
      <c r="C234" t="s">
        <v>40</v>
      </c>
    </row>
    <row r="235" spans="1:3" hidden="1" x14ac:dyDescent="0.25">
      <c r="A235">
        <v>25.17</v>
      </c>
      <c r="B235" t="s">
        <v>23</v>
      </c>
      <c r="C235" t="s">
        <v>35</v>
      </c>
    </row>
    <row r="236" spans="1:3" hidden="1" x14ac:dyDescent="0.25">
      <c r="A236">
        <v>25.59</v>
      </c>
      <c r="B236" t="s">
        <v>29</v>
      </c>
      <c r="C236" t="s">
        <v>41</v>
      </c>
    </row>
    <row r="237" spans="1:3" hidden="1" x14ac:dyDescent="0.25">
      <c r="A237">
        <v>25.64</v>
      </c>
      <c r="B237" t="s">
        <v>27</v>
      </c>
      <c r="C237" t="s">
        <v>35</v>
      </c>
    </row>
    <row r="238" spans="1:3" hidden="1" x14ac:dyDescent="0.25">
      <c r="A238">
        <v>25.71</v>
      </c>
      <c r="B238" t="s">
        <v>31</v>
      </c>
      <c r="C238" t="s">
        <v>38</v>
      </c>
    </row>
    <row r="239" spans="1:3" hidden="1" x14ac:dyDescent="0.25">
      <c r="A239">
        <v>25.8</v>
      </c>
      <c r="B239" t="s">
        <v>24</v>
      </c>
      <c r="C239" t="s">
        <v>38</v>
      </c>
    </row>
    <row r="240" spans="1:3" hidden="1" x14ac:dyDescent="0.25">
      <c r="A240">
        <v>25.8</v>
      </c>
      <c r="B240" t="s">
        <v>32</v>
      </c>
      <c r="C240" t="s">
        <v>37</v>
      </c>
    </row>
    <row r="241" spans="1:3" hidden="1" x14ac:dyDescent="0.25">
      <c r="A241">
        <v>26</v>
      </c>
      <c r="B241" t="s">
        <v>26</v>
      </c>
      <c r="C241" t="s">
        <v>35</v>
      </c>
    </row>
    <row r="242" spans="1:3" hidden="1" x14ac:dyDescent="0.25">
      <c r="A242">
        <v>26</v>
      </c>
      <c r="B242" t="s">
        <v>31</v>
      </c>
      <c r="C242" t="s">
        <v>38</v>
      </c>
    </row>
    <row r="243" spans="1:3" hidden="1" x14ac:dyDescent="0.25">
      <c r="A243">
        <v>26.14</v>
      </c>
      <c r="B243" t="s">
        <v>24</v>
      </c>
      <c r="C243" t="s">
        <v>40</v>
      </c>
    </row>
    <row r="244" spans="1:3" hidden="1" x14ac:dyDescent="0.25">
      <c r="A244">
        <v>26.15</v>
      </c>
      <c r="B244" t="s">
        <v>29</v>
      </c>
      <c r="C244" t="s">
        <v>38</v>
      </c>
    </row>
    <row r="245" spans="1:3" hidden="1" x14ac:dyDescent="0.25">
      <c r="A245">
        <v>26.2</v>
      </c>
      <c r="B245" t="s">
        <v>24</v>
      </c>
      <c r="C245" t="s">
        <v>35</v>
      </c>
    </row>
    <row r="246" spans="1:3" hidden="1" x14ac:dyDescent="0.25">
      <c r="A246">
        <v>26.35</v>
      </c>
      <c r="B246" t="s">
        <v>30</v>
      </c>
      <c r="C246" t="s">
        <v>38</v>
      </c>
    </row>
    <row r="247" spans="1:3" hidden="1" x14ac:dyDescent="0.25">
      <c r="A247">
        <v>26.61</v>
      </c>
      <c r="B247" t="s">
        <v>32</v>
      </c>
      <c r="C247" t="s">
        <v>35</v>
      </c>
    </row>
    <row r="248" spans="1:3" hidden="1" x14ac:dyDescent="0.25">
      <c r="A248">
        <v>26.69</v>
      </c>
      <c r="B248" t="s">
        <v>27</v>
      </c>
      <c r="C248" t="s">
        <v>35</v>
      </c>
    </row>
    <row r="249" spans="1:3" hidden="1" x14ac:dyDescent="0.25">
      <c r="A249">
        <v>26.83</v>
      </c>
      <c r="B249" t="s">
        <v>24</v>
      </c>
      <c r="C249" t="s">
        <v>41</v>
      </c>
    </row>
    <row r="250" spans="1:3" hidden="1" x14ac:dyDescent="0.25">
      <c r="A250">
        <v>27</v>
      </c>
      <c r="B250" t="s">
        <v>25</v>
      </c>
      <c r="C250" t="s">
        <v>35</v>
      </c>
    </row>
    <row r="251" spans="1:3" hidden="1" x14ac:dyDescent="0.25">
      <c r="A251">
        <v>27</v>
      </c>
      <c r="B251" t="s">
        <v>28</v>
      </c>
      <c r="C251" t="s">
        <v>48</v>
      </c>
    </row>
    <row r="252" spans="1:3" hidden="1" x14ac:dyDescent="0.25">
      <c r="A252">
        <v>27.1</v>
      </c>
      <c r="B252" t="s">
        <v>29</v>
      </c>
      <c r="C252" t="s">
        <v>41</v>
      </c>
    </row>
    <row r="253" spans="1:3" hidden="1" x14ac:dyDescent="0.25">
      <c r="A253">
        <v>27.22</v>
      </c>
      <c r="B253" t="s">
        <v>32</v>
      </c>
      <c r="C253" t="s">
        <v>40</v>
      </c>
    </row>
    <row r="254" spans="1:3" hidden="1" x14ac:dyDescent="0.25">
      <c r="A254">
        <v>27.44</v>
      </c>
      <c r="B254" t="s">
        <v>23</v>
      </c>
      <c r="C254" t="s">
        <v>39</v>
      </c>
    </row>
    <row r="255" spans="1:3" hidden="1" x14ac:dyDescent="0.25">
      <c r="A255">
        <v>27.48</v>
      </c>
      <c r="B255" t="s">
        <v>23</v>
      </c>
      <c r="C255" t="s">
        <v>40</v>
      </c>
    </row>
    <row r="256" spans="1:3" hidden="1" x14ac:dyDescent="0.25">
      <c r="A256">
        <v>28</v>
      </c>
      <c r="B256" t="s">
        <v>28</v>
      </c>
      <c r="C256" t="s">
        <v>35</v>
      </c>
    </row>
    <row r="257" spans="1:3" hidden="1" x14ac:dyDescent="0.25">
      <c r="A257">
        <v>28</v>
      </c>
      <c r="B257" t="s">
        <v>30</v>
      </c>
      <c r="C257" t="s">
        <v>41</v>
      </c>
    </row>
    <row r="258" spans="1:3" hidden="1" x14ac:dyDescent="0.25">
      <c r="A258">
        <v>28.01</v>
      </c>
      <c r="B258" t="s">
        <v>27</v>
      </c>
      <c r="C258" t="s">
        <v>35</v>
      </c>
    </row>
    <row r="259" spans="1:3" hidden="1" x14ac:dyDescent="0.25">
      <c r="A259">
        <v>28.5</v>
      </c>
      <c r="B259" t="s">
        <v>23</v>
      </c>
      <c r="C259" t="s">
        <v>35</v>
      </c>
    </row>
    <row r="260" spans="1:3" hidden="1" x14ac:dyDescent="0.25">
      <c r="A260">
        <v>29.14</v>
      </c>
      <c r="B260" t="s">
        <v>23</v>
      </c>
      <c r="C260" t="s">
        <v>46</v>
      </c>
    </row>
    <row r="261" spans="1:3" hidden="1" x14ac:dyDescent="0.25">
      <c r="A261">
        <v>29.22</v>
      </c>
      <c r="B261" t="s">
        <v>29</v>
      </c>
      <c r="C261" t="s">
        <v>35</v>
      </c>
    </row>
    <row r="262" spans="1:3" hidden="1" x14ac:dyDescent="0.25">
      <c r="A262">
        <v>29.24</v>
      </c>
      <c r="B262" t="s">
        <v>25</v>
      </c>
      <c r="C262" t="s">
        <v>38</v>
      </c>
    </row>
    <row r="263" spans="1:3" hidden="1" x14ac:dyDescent="0.25">
      <c r="A263">
        <v>29.43</v>
      </c>
      <c r="B263" t="s">
        <v>30</v>
      </c>
      <c r="C263" t="s">
        <v>35</v>
      </c>
    </row>
    <row r="264" spans="1:3" hidden="1" x14ac:dyDescent="0.25">
      <c r="A264">
        <v>29.45</v>
      </c>
      <c r="B264" t="s">
        <v>25</v>
      </c>
      <c r="C264" t="s">
        <v>39</v>
      </c>
    </row>
    <row r="265" spans="1:3" hidden="1" x14ac:dyDescent="0.25">
      <c r="A265">
        <v>29.53</v>
      </c>
      <c r="B265" t="s">
        <v>32</v>
      </c>
      <c r="C265" t="s">
        <v>38</v>
      </c>
    </row>
    <row r="266" spans="1:3" hidden="1" x14ac:dyDescent="0.25">
      <c r="A266">
        <v>29.84</v>
      </c>
      <c r="B266" t="s">
        <v>27</v>
      </c>
      <c r="C266" t="s">
        <v>43</v>
      </c>
    </row>
    <row r="267" spans="1:3" hidden="1" x14ac:dyDescent="0.25">
      <c r="A267">
        <v>29.98</v>
      </c>
      <c r="B267" t="s">
        <v>27</v>
      </c>
      <c r="C267" t="s">
        <v>41</v>
      </c>
    </row>
    <row r="268" spans="1:3" hidden="1" x14ac:dyDescent="0.25">
      <c r="A268">
        <v>29.99</v>
      </c>
      <c r="B268" t="s">
        <v>26</v>
      </c>
      <c r="C268" t="s">
        <v>35</v>
      </c>
    </row>
    <row r="269" spans="1:3" hidden="1" x14ac:dyDescent="0.25">
      <c r="A269">
        <v>29.99</v>
      </c>
      <c r="B269" t="s">
        <v>27</v>
      </c>
      <c r="C269" t="s">
        <v>35</v>
      </c>
    </row>
    <row r="270" spans="1:3" hidden="1" x14ac:dyDescent="0.25">
      <c r="A270">
        <v>30</v>
      </c>
      <c r="B270" t="s">
        <v>22</v>
      </c>
      <c r="C270" t="s">
        <v>35</v>
      </c>
    </row>
    <row r="271" spans="1:3" hidden="1" x14ac:dyDescent="0.25">
      <c r="A271">
        <v>30</v>
      </c>
      <c r="B271" t="s">
        <v>22</v>
      </c>
      <c r="C271" t="s">
        <v>35</v>
      </c>
    </row>
    <row r="272" spans="1:3" hidden="1" x14ac:dyDescent="0.25">
      <c r="A272">
        <v>30</v>
      </c>
      <c r="B272" t="s">
        <v>22</v>
      </c>
      <c r="C272" t="s">
        <v>36</v>
      </c>
    </row>
    <row r="273" spans="1:3" hidden="1" x14ac:dyDescent="0.25">
      <c r="A273">
        <v>30</v>
      </c>
      <c r="B273" t="s">
        <v>23</v>
      </c>
      <c r="C273" t="s">
        <v>45</v>
      </c>
    </row>
    <row r="274" spans="1:3" hidden="1" x14ac:dyDescent="0.25">
      <c r="A274">
        <v>30</v>
      </c>
      <c r="B274" t="s">
        <v>23</v>
      </c>
      <c r="C274" t="s">
        <v>35</v>
      </c>
    </row>
    <row r="275" spans="1:3" hidden="1" x14ac:dyDescent="0.25">
      <c r="A275">
        <v>30</v>
      </c>
      <c r="B275" t="s">
        <v>23</v>
      </c>
      <c r="C275" t="s">
        <v>35</v>
      </c>
    </row>
    <row r="276" spans="1:3" hidden="1" x14ac:dyDescent="0.25">
      <c r="A276">
        <v>30</v>
      </c>
      <c r="B276" t="s">
        <v>23</v>
      </c>
      <c r="C276" t="s">
        <v>35</v>
      </c>
    </row>
    <row r="277" spans="1:3" hidden="1" x14ac:dyDescent="0.25">
      <c r="A277">
        <v>30</v>
      </c>
      <c r="B277" t="s">
        <v>23</v>
      </c>
      <c r="C277" t="s">
        <v>35</v>
      </c>
    </row>
    <row r="278" spans="1:3" hidden="1" x14ac:dyDescent="0.25">
      <c r="A278">
        <v>30</v>
      </c>
      <c r="B278" t="s">
        <v>23</v>
      </c>
      <c r="C278" t="s">
        <v>35</v>
      </c>
    </row>
    <row r="279" spans="1:3" hidden="1" x14ac:dyDescent="0.25">
      <c r="A279">
        <v>30</v>
      </c>
      <c r="B279" t="s">
        <v>23</v>
      </c>
      <c r="C279" t="s">
        <v>35</v>
      </c>
    </row>
    <row r="280" spans="1:3" hidden="1" x14ac:dyDescent="0.25">
      <c r="A280">
        <v>30</v>
      </c>
      <c r="B280" t="s">
        <v>23</v>
      </c>
      <c r="C280" t="s">
        <v>38</v>
      </c>
    </row>
    <row r="281" spans="1:3" hidden="1" x14ac:dyDescent="0.25">
      <c r="A281">
        <v>30</v>
      </c>
      <c r="B281" t="s">
        <v>23</v>
      </c>
      <c r="C281" t="s">
        <v>38</v>
      </c>
    </row>
    <row r="282" spans="1:3" hidden="1" x14ac:dyDescent="0.25">
      <c r="A282">
        <v>30</v>
      </c>
      <c r="B282" t="s">
        <v>23</v>
      </c>
      <c r="C282" t="s">
        <v>39</v>
      </c>
    </row>
    <row r="283" spans="1:3" hidden="1" x14ac:dyDescent="0.25">
      <c r="A283">
        <v>30</v>
      </c>
      <c r="B283" t="s">
        <v>23</v>
      </c>
      <c r="C283" t="s">
        <v>39</v>
      </c>
    </row>
    <row r="284" spans="1:3" hidden="1" x14ac:dyDescent="0.25">
      <c r="A284">
        <v>30</v>
      </c>
      <c r="B284" t="s">
        <v>23</v>
      </c>
      <c r="C284" t="s">
        <v>39</v>
      </c>
    </row>
    <row r="285" spans="1:3" x14ac:dyDescent="0.25">
      <c r="A285">
        <v>30</v>
      </c>
      <c r="B285" t="s">
        <v>23</v>
      </c>
      <c r="C285" t="s">
        <v>50</v>
      </c>
    </row>
    <row r="286" spans="1:3" hidden="1" x14ac:dyDescent="0.25">
      <c r="A286">
        <v>30</v>
      </c>
      <c r="B286" t="s">
        <v>23</v>
      </c>
      <c r="C286" t="s">
        <v>41</v>
      </c>
    </row>
    <row r="287" spans="1:3" hidden="1" x14ac:dyDescent="0.25">
      <c r="A287">
        <v>30</v>
      </c>
      <c r="B287" t="s">
        <v>24</v>
      </c>
      <c r="C287" t="s">
        <v>43</v>
      </c>
    </row>
    <row r="288" spans="1:3" hidden="1" x14ac:dyDescent="0.25">
      <c r="A288">
        <v>30</v>
      </c>
      <c r="B288" t="s">
        <v>24</v>
      </c>
      <c r="C288" t="s">
        <v>43</v>
      </c>
    </row>
    <row r="289" spans="1:3" hidden="1" x14ac:dyDescent="0.25">
      <c r="A289">
        <v>30</v>
      </c>
      <c r="B289" t="s">
        <v>24</v>
      </c>
      <c r="C289" t="s">
        <v>43</v>
      </c>
    </row>
    <row r="290" spans="1:3" hidden="1" x14ac:dyDescent="0.25">
      <c r="A290">
        <v>30</v>
      </c>
      <c r="B290" t="s">
        <v>24</v>
      </c>
      <c r="C290" t="s">
        <v>35</v>
      </c>
    </row>
    <row r="291" spans="1:3" hidden="1" x14ac:dyDescent="0.25">
      <c r="A291">
        <v>30</v>
      </c>
      <c r="B291" t="s">
        <v>24</v>
      </c>
      <c r="C291" t="s">
        <v>53</v>
      </c>
    </row>
    <row r="292" spans="1:3" hidden="1" x14ac:dyDescent="0.25">
      <c r="A292">
        <v>30</v>
      </c>
      <c r="B292" t="s">
        <v>24</v>
      </c>
      <c r="C292" t="s">
        <v>38</v>
      </c>
    </row>
    <row r="293" spans="1:3" hidden="1" x14ac:dyDescent="0.25">
      <c r="A293">
        <v>30</v>
      </c>
      <c r="B293" t="s">
        <v>24</v>
      </c>
      <c r="C293" t="s">
        <v>38</v>
      </c>
    </row>
    <row r="294" spans="1:3" hidden="1" x14ac:dyDescent="0.25">
      <c r="A294">
        <v>30</v>
      </c>
      <c r="B294" t="s">
        <v>24</v>
      </c>
      <c r="C294" t="s">
        <v>39</v>
      </c>
    </row>
    <row r="295" spans="1:3" hidden="1" x14ac:dyDescent="0.25">
      <c r="A295">
        <v>30</v>
      </c>
      <c r="B295" t="s">
        <v>24</v>
      </c>
      <c r="C295" t="s">
        <v>39</v>
      </c>
    </row>
    <row r="296" spans="1:3" hidden="1" x14ac:dyDescent="0.25">
      <c r="A296">
        <v>30</v>
      </c>
      <c r="B296" t="s">
        <v>24</v>
      </c>
      <c r="C296" t="s">
        <v>39</v>
      </c>
    </row>
    <row r="297" spans="1:3" hidden="1" x14ac:dyDescent="0.25">
      <c r="A297">
        <v>30</v>
      </c>
      <c r="B297" t="s">
        <v>24</v>
      </c>
      <c r="C297" t="s">
        <v>39</v>
      </c>
    </row>
    <row r="298" spans="1:3" hidden="1" x14ac:dyDescent="0.25">
      <c r="A298">
        <v>30</v>
      </c>
      <c r="B298" t="s">
        <v>25</v>
      </c>
      <c r="C298" t="s">
        <v>38</v>
      </c>
    </row>
    <row r="299" spans="1:3" hidden="1" x14ac:dyDescent="0.25">
      <c r="A299">
        <v>30</v>
      </c>
      <c r="B299" t="s">
        <v>25</v>
      </c>
      <c r="C299" t="s">
        <v>41</v>
      </c>
    </row>
    <row r="300" spans="1:3" hidden="1" x14ac:dyDescent="0.25">
      <c r="A300">
        <v>30</v>
      </c>
      <c r="B300" t="s">
        <v>26</v>
      </c>
      <c r="C300" t="s">
        <v>35</v>
      </c>
    </row>
    <row r="301" spans="1:3" hidden="1" x14ac:dyDescent="0.25">
      <c r="A301">
        <v>30</v>
      </c>
      <c r="B301" t="s">
        <v>26</v>
      </c>
      <c r="C301" t="s">
        <v>35</v>
      </c>
    </row>
    <row r="302" spans="1:3" hidden="1" x14ac:dyDescent="0.25">
      <c r="A302">
        <v>30</v>
      </c>
      <c r="B302" t="s">
        <v>26</v>
      </c>
      <c r="C302" t="s">
        <v>35</v>
      </c>
    </row>
    <row r="303" spans="1:3" hidden="1" x14ac:dyDescent="0.25">
      <c r="A303">
        <v>30</v>
      </c>
      <c r="B303" t="s">
        <v>26</v>
      </c>
      <c r="C303" t="s">
        <v>35</v>
      </c>
    </row>
    <row r="304" spans="1:3" hidden="1" x14ac:dyDescent="0.25">
      <c r="A304">
        <v>30</v>
      </c>
      <c r="B304" t="s">
        <v>26</v>
      </c>
      <c r="C304" t="s">
        <v>36</v>
      </c>
    </row>
    <row r="305" spans="1:3" hidden="1" x14ac:dyDescent="0.25">
      <c r="A305">
        <v>30</v>
      </c>
      <c r="B305" t="s">
        <v>26</v>
      </c>
      <c r="C305" t="s">
        <v>38</v>
      </c>
    </row>
    <row r="306" spans="1:3" hidden="1" x14ac:dyDescent="0.25">
      <c r="A306">
        <v>30</v>
      </c>
      <c r="B306" t="s">
        <v>26</v>
      </c>
      <c r="C306" t="s">
        <v>39</v>
      </c>
    </row>
    <row r="307" spans="1:3" hidden="1" x14ac:dyDescent="0.25">
      <c r="A307">
        <v>30</v>
      </c>
      <c r="B307" t="s">
        <v>26</v>
      </c>
      <c r="C307" t="s">
        <v>40</v>
      </c>
    </row>
    <row r="308" spans="1:3" hidden="1" x14ac:dyDescent="0.25">
      <c r="A308">
        <v>30</v>
      </c>
      <c r="B308" t="s">
        <v>26</v>
      </c>
      <c r="C308" t="s">
        <v>41</v>
      </c>
    </row>
    <row r="309" spans="1:3" hidden="1" x14ac:dyDescent="0.25">
      <c r="A309">
        <v>30</v>
      </c>
      <c r="B309" t="s">
        <v>26</v>
      </c>
      <c r="C309" t="s">
        <v>41</v>
      </c>
    </row>
    <row r="310" spans="1:3" hidden="1" x14ac:dyDescent="0.25">
      <c r="A310">
        <v>30</v>
      </c>
      <c r="B310" t="s">
        <v>27</v>
      </c>
      <c r="C310" t="s">
        <v>46</v>
      </c>
    </row>
    <row r="311" spans="1:3" hidden="1" x14ac:dyDescent="0.25">
      <c r="A311">
        <v>30</v>
      </c>
      <c r="B311" t="s">
        <v>27</v>
      </c>
      <c r="C311" t="s">
        <v>35</v>
      </c>
    </row>
    <row r="312" spans="1:3" hidden="1" x14ac:dyDescent="0.25">
      <c r="A312">
        <v>30</v>
      </c>
      <c r="B312" t="s">
        <v>27</v>
      </c>
      <c r="C312" t="s">
        <v>35</v>
      </c>
    </row>
    <row r="313" spans="1:3" hidden="1" x14ac:dyDescent="0.25">
      <c r="A313">
        <v>30</v>
      </c>
      <c r="B313" t="s">
        <v>27</v>
      </c>
      <c r="C313" t="s">
        <v>37</v>
      </c>
    </row>
    <row r="314" spans="1:3" hidden="1" x14ac:dyDescent="0.25">
      <c r="A314">
        <v>30</v>
      </c>
      <c r="B314" t="s">
        <v>27</v>
      </c>
      <c r="C314" t="s">
        <v>38</v>
      </c>
    </row>
    <row r="315" spans="1:3" hidden="1" x14ac:dyDescent="0.25">
      <c r="A315">
        <v>30</v>
      </c>
      <c r="B315" t="s">
        <v>27</v>
      </c>
      <c r="C315" t="s">
        <v>38</v>
      </c>
    </row>
    <row r="316" spans="1:3" hidden="1" x14ac:dyDescent="0.25">
      <c r="A316">
        <v>30</v>
      </c>
      <c r="B316" t="s">
        <v>27</v>
      </c>
      <c r="C316" t="s">
        <v>38</v>
      </c>
    </row>
    <row r="317" spans="1:3" hidden="1" x14ac:dyDescent="0.25">
      <c r="A317">
        <v>30</v>
      </c>
      <c r="B317" t="s">
        <v>27</v>
      </c>
      <c r="C317" t="s">
        <v>38</v>
      </c>
    </row>
    <row r="318" spans="1:3" hidden="1" x14ac:dyDescent="0.25">
      <c r="A318">
        <v>30</v>
      </c>
      <c r="B318" t="s">
        <v>27</v>
      </c>
      <c r="C318" t="s">
        <v>38</v>
      </c>
    </row>
    <row r="319" spans="1:3" hidden="1" x14ac:dyDescent="0.25">
      <c r="A319">
        <v>30</v>
      </c>
      <c r="B319" t="s">
        <v>27</v>
      </c>
      <c r="C319" t="s">
        <v>41</v>
      </c>
    </row>
    <row r="320" spans="1:3" hidden="1" x14ac:dyDescent="0.25">
      <c r="A320">
        <v>30</v>
      </c>
      <c r="B320" t="s">
        <v>27</v>
      </c>
      <c r="C320" t="s">
        <v>41</v>
      </c>
    </row>
    <row r="321" spans="1:3" hidden="1" x14ac:dyDescent="0.25">
      <c r="A321">
        <v>30</v>
      </c>
      <c r="B321" t="s">
        <v>27</v>
      </c>
      <c r="C321" t="s">
        <v>41</v>
      </c>
    </row>
    <row r="322" spans="1:3" hidden="1" x14ac:dyDescent="0.25">
      <c r="A322">
        <v>30</v>
      </c>
      <c r="B322" t="s">
        <v>28</v>
      </c>
      <c r="C322" t="s">
        <v>43</v>
      </c>
    </row>
    <row r="323" spans="1:3" hidden="1" x14ac:dyDescent="0.25">
      <c r="A323">
        <v>30</v>
      </c>
      <c r="B323" t="s">
        <v>28</v>
      </c>
      <c r="C323" t="s">
        <v>43</v>
      </c>
    </row>
    <row r="324" spans="1:3" hidden="1" x14ac:dyDescent="0.25">
      <c r="A324">
        <v>30</v>
      </c>
      <c r="B324" t="s">
        <v>28</v>
      </c>
      <c r="C324" t="s">
        <v>35</v>
      </c>
    </row>
    <row r="325" spans="1:3" hidden="1" x14ac:dyDescent="0.25">
      <c r="A325">
        <v>30</v>
      </c>
      <c r="B325" t="s">
        <v>28</v>
      </c>
      <c r="C325" t="s">
        <v>35</v>
      </c>
    </row>
    <row r="326" spans="1:3" hidden="1" x14ac:dyDescent="0.25">
      <c r="A326">
        <v>30</v>
      </c>
      <c r="B326" t="s">
        <v>28</v>
      </c>
      <c r="C326" t="s">
        <v>49</v>
      </c>
    </row>
    <row r="327" spans="1:3" hidden="1" x14ac:dyDescent="0.25">
      <c r="A327">
        <v>30</v>
      </c>
      <c r="B327" t="s">
        <v>28</v>
      </c>
      <c r="C327" t="s">
        <v>38</v>
      </c>
    </row>
    <row r="328" spans="1:3" hidden="1" x14ac:dyDescent="0.25">
      <c r="A328">
        <v>30</v>
      </c>
      <c r="B328" t="s">
        <v>28</v>
      </c>
      <c r="C328" t="s">
        <v>38</v>
      </c>
    </row>
    <row r="329" spans="1:3" hidden="1" x14ac:dyDescent="0.25">
      <c r="A329">
        <v>30</v>
      </c>
      <c r="B329" t="s">
        <v>28</v>
      </c>
      <c r="C329" t="s">
        <v>38</v>
      </c>
    </row>
    <row r="330" spans="1:3" hidden="1" x14ac:dyDescent="0.25">
      <c r="A330">
        <v>30</v>
      </c>
      <c r="B330" t="s">
        <v>29</v>
      </c>
      <c r="C330" t="s">
        <v>43</v>
      </c>
    </row>
    <row r="331" spans="1:3" hidden="1" x14ac:dyDescent="0.25">
      <c r="A331">
        <v>30</v>
      </c>
      <c r="B331" t="s">
        <v>29</v>
      </c>
      <c r="C331" t="s">
        <v>35</v>
      </c>
    </row>
    <row r="332" spans="1:3" hidden="1" x14ac:dyDescent="0.25">
      <c r="A332">
        <v>30</v>
      </c>
      <c r="B332" t="s">
        <v>29</v>
      </c>
      <c r="C332" t="s">
        <v>35</v>
      </c>
    </row>
    <row r="333" spans="1:3" hidden="1" x14ac:dyDescent="0.25">
      <c r="A333">
        <v>30</v>
      </c>
      <c r="B333" t="s">
        <v>29</v>
      </c>
      <c r="C333" t="s">
        <v>38</v>
      </c>
    </row>
    <row r="334" spans="1:3" hidden="1" x14ac:dyDescent="0.25">
      <c r="A334">
        <v>30</v>
      </c>
      <c r="B334" t="s">
        <v>30</v>
      </c>
      <c r="C334" t="s">
        <v>43</v>
      </c>
    </row>
    <row r="335" spans="1:3" hidden="1" x14ac:dyDescent="0.25">
      <c r="A335">
        <v>30</v>
      </c>
      <c r="B335" t="s">
        <v>30</v>
      </c>
      <c r="C335" t="s">
        <v>35</v>
      </c>
    </row>
    <row r="336" spans="1:3" hidden="1" x14ac:dyDescent="0.25">
      <c r="A336">
        <v>30</v>
      </c>
      <c r="B336" t="s">
        <v>30</v>
      </c>
      <c r="C336" t="s">
        <v>35</v>
      </c>
    </row>
    <row r="337" spans="1:3" hidden="1" x14ac:dyDescent="0.25">
      <c r="A337">
        <v>30</v>
      </c>
      <c r="B337" t="s">
        <v>30</v>
      </c>
      <c r="C337" t="s">
        <v>37</v>
      </c>
    </row>
    <row r="338" spans="1:3" hidden="1" x14ac:dyDescent="0.25">
      <c r="A338">
        <v>30</v>
      </c>
      <c r="B338" t="s">
        <v>30</v>
      </c>
      <c r="C338" t="s">
        <v>38</v>
      </c>
    </row>
    <row r="339" spans="1:3" hidden="1" x14ac:dyDescent="0.25">
      <c r="A339">
        <v>30</v>
      </c>
      <c r="B339" t="s">
        <v>30</v>
      </c>
      <c r="C339" t="s">
        <v>38</v>
      </c>
    </row>
    <row r="340" spans="1:3" hidden="1" x14ac:dyDescent="0.25">
      <c r="A340">
        <v>30</v>
      </c>
      <c r="B340" t="s">
        <v>30</v>
      </c>
      <c r="C340" t="s">
        <v>38</v>
      </c>
    </row>
    <row r="341" spans="1:3" hidden="1" x14ac:dyDescent="0.25">
      <c r="A341">
        <v>30</v>
      </c>
      <c r="B341" t="s">
        <v>30</v>
      </c>
      <c r="C341" t="s">
        <v>39</v>
      </c>
    </row>
    <row r="342" spans="1:3" hidden="1" x14ac:dyDescent="0.25">
      <c r="A342">
        <v>30</v>
      </c>
      <c r="B342" t="s">
        <v>30</v>
      </c>
      <c r="C342" t="s">
        <v>41</v>
      </c>
    </row>
    <row r="343" spans="1:3" hidden="1" x14ac:dyDescent="0.25">
      <c r="A343">
        <v>30</v>
      </c>
      <c r="B343" t="s">
        <v>31</v>
      </c>
      <c r="C343" t="s">
        <v>35</v>
      </c>
    </row>
    <row r="344" spans="1:3" hidden="1" x14ac:dyDescent="0.25">
      <c r="A344">
        <v>30</v>
      </c>
      <c r="B344" t="s">
        <v>31</v>
      </c>
      <c r="C344" t="s">
        <v>35</v>
      </c>
    </row>
    <row r="345" spans="1:3" hidden="1" x14ac:dyDescent="0.25">
      <c r="A345">
        <v>30</v>
      </c>
      <c r="B345" t="s">
        <v>31</v>
      </c>
      <c r="C345" t="s">
        <v>35</v>
      </c>
    </row>
    <row r="346" spans="1:3" hidden="1" x14ac:dyDescent="0.25">
      <c r="A346">
        <v>30</v>
      </c>
      <c r="B346" t="s">
        <v>31</v>
      </c>
      <c r="C346" t="s">
        <v>36</v>
      </c>
    </row>
    <row r="347" spans="1:3" hidden="1" x14ac:dyDescent="0.25">
      <c r="A347">
        <v>30</v>
      </c>
      <c r="B347" t="s">
        <v>31</v>
      </c>
      <c r="C347" t="s">
        <v>38</v>
      </c>
    </row>
    <row r="348" spans="1:3" hidden="1" x14ac:dyDescent="0.25">
      <c r="A348">
        <v>30</v>
      </c>
      <c r="B348" t="s">
        <v>31</v>
      </c>
      <c r="C348" t="s">
        <v>38</v>
      </c>
    </row>
    <row r="349" spans="1:3" hidden="1" x14ac:dyDescent="0.25">
      <c r="A349">
        <v>30</v>
      </c>
      <c r="B349" t="s">
        <v>31</v>
      </c>
      <c r="C349" t="s">
        <v>40</v>
      </c>
    </row>
    <row r="350" spans="1:3" hidden="1" x14ac:dyDescent="0.25">
      <c r="A350">
        <v>30</v>
      </c>
      <c r="B350" t="s">
        <v>31</v>
      </c>
      <c r="C350" t="s">
        <v>41</v>
      </c>
    </row>
    <row r="351" spans="1:3" hidden="1" x14ac:dyDescent="0.25">
      <c r="A351">
        <v>30</v>
      </c>
      <c r="B351" t="s">
        <v>32</v>
      </c>
      <c r="C351" t="s">
        <v>35</v>
      </c>
    </row>
    <row r="352" spans="1:3" hidden="1" x14ac:dyDescent="0.25">
      <c r="A352">
        <v>30</v>
      </c>
      <c r="B352" t="s">
        <v>32</v>
      </c>
      <c r="C352" t="s">
        <v>35</v>
      </c>
    </row>
    <row r="353" spans="1:3" hidden="1" x14ac:dyDescent="0.25">
      <c r="A353">
        <v>30</v>
      </c>
      <c r="B353" t="s">
        <v>32</v>
      </c>
      <c r="C353" t="s">
        <v>35</v>
      </c>
    </row>
    <row r="354" spans="1:3" hidden="1" x14ac:dyDescent="0.25">
      <c r="A354">
        <v>30</v>
      </c>
      <c r="B354" t="s">
        <v>32</v>
      </c>
      <c r="C354" t="s">
        <v>37</v>
      </c>
    </row>
    <row r="355" spans="1:3" hidden="1" x14ac:dyDescent="0.25">
      <c r="A355">
        <v>30</v>
      </c>
      <c r="B355" t="s">
        <v>32</v>
      </c>
      <c r="C355" t="s">
        <v>37</v>
      </c>
    </row>
    <row r="356" spans="1:3" hidden="1" x14ac:dyDescent="0.25">
      <c r="A356">
        <v>30</v>
      </c>
      <c r="B356" t="s">
        <v>32</v>
      </c>
      <c r="C356" t="s">
        <v>38</v>
      </c>
    </row>
    <row r="357" spans="1:3" hidden="1" x14ac:dyDescent="0.25">
      <c r="A357">
        <v>30</v>
      </c>
      <c r="B357" t="s">
        <v>32</v>
      </c>
      <c r="C357" t="s">
        <v>38</v>
      </c>
    </row>
    <row r="358" spans="1:3" hidden="1" x14ac:dyDescent="0.25">
      <c r="A358">
        <v>30</v>
      </c>
      <c r="B358" t="s">
        <v>32</v>
      </c>
      <c r="C358" t="s">
        <v>38</v>
      </c>
    </row>
    <row r="359" spans="1:3" hidden="1" x14ac:dyDescent="0.25">
      <c r="A359">
        <v>30</v>
      </c>
      <c r="B359" t="s">
        <v>32</v>
      </c>
      <c r="C359" t="s">
        <v>39</v>
      </c>
    </row>
    <row r="360" spans="1:3" hidden="1" x14ac:dyDescent="0.25">
      <c r="A360">
        <v>30.06</v>
      </c>
      <c r="B360" t="s">
        <v>26</v>
      </c>
      <c r="C360" t="s">
        <v>41</v>
      </c>
    </row>
    <row r="361" spans="1:3" hidden="1" x14ac:dyDescent="0.25">
      <c r="A361">
        <v>30.06</v>
      </c>
      <c r="B361" t="s">
        <v>30</v>
      </c>
      <c r="C361" t="s">
        <v>38</v>
      </c>
    </row>
    <row r="362" spans="1:3" hidden="1" x14ac:dyDescent="0.25">
      <c r="A362">
        <v>30.13</v>
      </c>
      <c r="B362" t="s">
        <v>32</v>
      </c>
      <c r="C362" t="s">
        <v>35</v>
      </c>
    </row>
    <row r="363" spans="1:3" hidden="1" x14ac:dyDescent="0.25">
      <c r="A363">
        <v>30.38</v>
      </c>
      <c r="B363" t="s">
        <v>24</v>
      </c>
      <c r="C363" t="s">
        <v>43</v>
      </c>
    </row>
    <row r="364" spans="1:3" hidden="1" x14ac:dyDescent="0.25">
      <c r="A364">
        <v>30.48</v>
      </c>
      <c r="B364" t="s">
        <v>32</v>
      </c>
      <c r="C364" t="s">
        <v>40</v>
      </c>
    </row>
    <row r="365" spans="1:3" hidden="1" x14ac:dyDescent="0.25">
      <c r="A365">
        <v>30.58</v>
      </c>
      <c r="B365" t="s">
        <v>24</v>
      </c>
      <c r="C365" t="s">
        <v>36</v>
      </c>
    </row>
    <row r="366" spans="1:3" hidden="1" x14ac:dyDescent="0.25">
      <c r="A366">
        <v>30.73</v>
      </c>
      <c r="B366" t="s">
        <v>29</v>
      </c>
      <c r="C366" t="s">
        <v>36</v>
      </c>
    </row>
    <row r="367" spans="1:3" hidden="1" x14ac:dyDescent="0.25">
      <c r="A367">
        <v>30.78</v>
      </c>
      <c r="B367" t="s">
        <v>30</v>
      </c>
      <c r="C367" t="s">
        <v>36</v>
      </c>
    </row>
    <row r="368" spans="1:3" hidden="1" x14ac:dyDescent="0.25">
      <c r="A368">
        <v>30.85</v>
      </c>
      <c r="B368" t="s">
        <v>23</v>
      </c>
      <c r="C368" t="s">
        <v>35</v>
      </c>
    </row>
    <row r="369" spans="1:3" hidden="1" x14ac:dyDescent="0.25">
      <c r="A369">
        <v>31</v>
      </c>
      <c r="B369" t="s">
        <v>28</v>
      </c>
      <c r="C369" t="s">
        <v>43</v>
      </c>
    </row>
    <row r="370" spans="1:3" hidden="1" x14ac:dyDescent="0.25">
      <c r="A370">
        <v>31.03</v>
      </c>
      <c r="B370" t="s">
        <v>22</v>
      </c>
      <c r="C370" t="s">
        <v>35</v>
      </c>
    </row>
    <row r="371" spans="1:3" hidden="1" x14ac:dyDescent="0.25">
      <c r="A371">
        <v>31.03</v>
      </c>
      <c r="B371" t="s">
        <v>23</v>
      </c>
      <c r="C371" t="s">
        <v>35</v>
      </c>
    </row>
    <row r="372" spans="1:3" hidden="1" x14ac:dyDescent="0.25">
      <c r="A372">
        <v>31.03</v>
      </c>
      <c r="B372" t="s">
        <v>30</v>
      </c>
      <c r="C372" t="s">
        <v>38</v>
      </c>
    </row>
    <row r="373" spans="1:3" hidden="1" x14ac:dyDescent="0.25">
      <c r="A373">
        <v>31.08</v>
      </c>
      <c r="B373" t="s">
        <v>29</v>
      </c>
      <c r="C373" t="s">
        <v>49</v>
      </c>
    </row>
    <row r="374" spans="1:3" hidden="1" x14ac:dyDescent="0.25">
      <c r="A374">
        <v>31.09</v>
      </c>
      <c r="B374" t="s">
        <v>32</v>
      </c>
      <c r="C374" t="s">
        <v>41</v>
      </c>
    </row>
    <row r="375" spans="1:3" hidden="1" x14ac:dyDescent="0.25">
      <c r="A375">
        <v>31.78</v>
      </c>
      <c r="B375" t="s">
        <v>29</v>
      </c>
      <c r="C375" t="s">
        <v>38</v>
      </c>
    </row>
    <row r="376" spans="1:3" hidden="1" x14ac:dyDescent="0.25">
      <c r="A376">
        <v>31.83</v>
      </c>
      <c r="B376" t="s">
        <v>24</v>
      </c>
      <c r="C376" t="s">
        <v>39</v>
      </c>
    </row>
    <row r="377" spans="1:3" hidden="1" x14ac:dyDescent="0.25">
      <c r="A377">
        <v>31.83</v>
      </c>
      <c r="B377" t="s">
        <v>27</v>
      </c>
      <c r="C377" t="s">
        <v>40</v>
      </c>
    </row>
    <row r="378" spans="1:3" hidden="1" x14ac:dyDescent="0.25">
      <c r="A378">
        <v>31.97</v>
      </c>
      <c r="B378" t="s">
        <v>30</v>
      </c>
      <c r="C378" t="s">
        <v>39</v>
      </c>
    </row>
    <row r="379" spans="1:3" hidden="1" x14ac:dyDescent="0.25">
      <c r="A379">
        <v>32.03</v>
      </c>
      <c r="B379" t="s">
        <v>27</v>
      </c>
      <c r="C379" t="s">
        <v>46</v>
      </c>
    </row>
    <row r="380" spans="1:3" hidden="1" x14ac:dyDescent="0.25">
      <c r="A380">
        <v>32.03</v>
      </c>
      <c r="B380" t="s">
        <v>29</v>
      </c>
      <c r="C380" t="s">
        <v>39</v>
      </c>
    </row>
    <row r="381" spans="1:3" hidden="1" x14ac:dyDescent="0.25">
      <c r="A381">
        <v>32.07</v>
      </c>
      <c r="B381" t="s">
        <v>25</v>
      </c>
      <c r="C381" t="s">
        <v>35</v>
      </c>
    </row>
    <row r="382" spans="1:3" hidden="1" x14ac:dyDescent="0.25">
      <c r="A382">
        <v>32.18</v>
      </c>
      <c r="B382" t="s">
        <v>32</v>
      </c>
      <c r="C382" t="s">
        <v>35</v>
      </c>
    </row>
    <row r="383" spans="1:3" hidden="1" x14ac:dyDescent="0.25">
      <c r="A383">
        <v>32.19</v>
      </c>
      <c r="B383" t="s">
        <v>30</v>
      </c>
      <c r="C383" t="s">
        <v>35</v>
      </c>
    </row>
    <row r="384" spans="1:3" hidden="1" x14ac:dyDescent="0.25">
      <c r="A384">
        <v>32.25</v>
      </c>
      <c r="B384" t="s">
        <v>25</v>
      </c>
      <c r="C384" t="s">
        <v>39</v>
      </c>
    </row>
    <row r="385" spans="1:3" hidden="1" x14ac:dyDescent="0.25">
      <c r="A385">
        <v>32.25</v>
      </c>
      <c r="B385" t="s">
        <v>26</v>
      </c>
      <c r="C385" t="s">
        <v>37</v>
      </c>
    </row>
    <row r="386" spans="1:3" hidden="1" x14ac:dyDescent="0.25">
      <c r="A386">
        <v>32.25</v>
      </c>
      <c r="B386" t="s">
        <v>28</v>
      </c>
      <c r="C386" t="s">
        <v>38</v>
      </c>
    </row>
    <row r="387" spans="1:3" hidden="1" x14ac:dyDescent="0.25">
      <c r="A387">
        <v>32.31</v>
      </c>
      <c r="B387" t="s">
        <v>24</v>
      </c>
      <c r="C387" t="s">
        <v>38</v>
      </c>
    </row>
    <row r="388" spans="1:3" hidden="1" x14ac:dyDescent="0.25">
      <c r="A388">
        <v>32.33</v>
      </c>
      <c r="B388" t="s">
        <v>25</v>
      </c>
      <c r="C388" t="s">
        <v>35</v>
      </c>
    </row>
    <row r="389" spans="1:3" hidden="1" x14ac:dyDescent="0.25">
      <c r="A389">
        <v>32.44</v>
      </c>
      <c r="B389" t="s">
        <v>24</v>
      </c>
      <c r="C389" t="s">
        <v>38</v>
      </c>
    </row>
    <row r="390" spans="1:3" hidden="1" x14ac:dyDescent="0.25">
      <c r="A390">
        <v>32.68</v>
      </c>
      <c r="B390" t="s">
        <v>26</v>
      </c>
      <c r="C390" t="s">
        <v>39</v>
      </c>
    </row>
    <row r="391" spans="1:3" hidden="1" x14ac:dyDescent="0.25">
      <c r="A391">
        <v>33.020000000000003</v>
      </c>
      <c r="B391" t="s">
        <v>27</v>
      </c>
      <c r="C391" t="s">
        <v>38</v>
      </c>
    </row>
    <row r="392" spans="1:3" hidden="1" x14ac:dyDescent="0.25">
      <c r="A392">
        <v>33.03</v>
      </c>
      <c r="B392" t="s">
        <v>29</v>
      </c>
      <c r="C392" t="s">
        <v>36</v>
      </c>
    </row>
    <row r="393" spans="1:3" hidden="1" x14ac:dyDescent="0.25">
      <c r="A393">
        <v>33.1</v>
      </c>
      <c r="B393" t="s">
        <v>24</v>
      </c>
      <c r="C393" t="s">
        <v>43</v>
      </c>
    </row>
    <row r="394" spans="1:3" hidden="1" x14ac:dyDescent="0.25">
      <c r="A394">
        <v>33.229999999999997</v>
      </c>
      <c r="B394" t="s">
        <v>25</v>
      </c>
      <c r="C394" t="s">
        <v>35</v>
      </c>
    </row>
    <row r="395" spans="1:3" hidden="1" x14ac:dyDescent="0.25">
      <c r="A395">
        <v>33.33</v>
      </c>
      <c r="B395" t="s">
        <v>32</v>
      </c>
      <c r="C395" t="s">
        <v>39</v>
      </c>
    </row>
    <row r="396" spans="1:3" hidden="1" x14ac:dyDescent="0.25">
      <c r="A396">
        <v>33.43</v>
      </c>
      <c r="B396" t="s">
        <v>29</v>
      </c>
      <c r="C396" t="s">
        <v>39</v>
      </c>
    </row>
    <row r="397" spans="1:3" hidden="1" x14ac:dyDescent="0.25">
      <c r="A397">
        <v>33.44</v>
      </c>
      <c r="B397" t="s">
        <v>26</v>
      </c>
      <c r="C397" t="s">
        <v>41</v>
      </c>
    </row>
    <row r="398" spans="1:3" hidden="1" x14ac:dyDescent="0.25">
      <c r="A398">
        <v>33.74</v>
      </c>
      <c r="B398" t="s">
        <v>30</v>
      </c>
      <c r="C398" t="s">
        <v>35</v>
      </c>
    </row>
    <row r="399" spans="1:3" hidden="1" x14ac:dyDescent="0.25">
      <c r="A399">
        <v>33.83</v>
      </c>
      <c r="B399" t="s">
        <v>27</v>
      </c>
      <c r="C399" t="s">
        <v>39</v>
      </c>
    </row>
    <row r="400" spans="1:3" hidden="1" x14ac:dyDescent="0.25">
      <c r="A400">
        <v>33.83</v>
      </c>
      <c r="B400" t="s">
        <v>31</v>
      </c>
      <c r="C400" t="s">
        <v>38</v>
      </c>
    </row>
    <row r="401" spans="1:3" hidden="1" x14ac:dyDescent="0.25">
      <c r="A401">
        <v>33.979999999999997</v>
      </c>
      <c r="B401" t="s">
        <v>32</v>
      </c>
      <c r="C401" t="s">
        <v>35</v>
      </c>
    </row>
    <row r="402" spans="1:3" x14ac:dyDescent="0.25">
      <c r="A402">
        <v>34.03</v>
      </c>
      <c r="B402" t="s">
        <v>26</v>
      </c>
      <c r="C402" t="s">
        <v>50</v>
      </c>
    </row>
    <row r="403" spans="1:3" hidden="1" x14ac:dyDescent="0.25">
      <c r="A403">
        <v>34.119999999999997</v>
      </c>
      <c r="B403" t="s">
        <v>24</v>
      </c>
      <c r="C403" t="s">
        <v>38</v>
      </c>
    </row>
    <row r="404" spans="1:3" hidden="1" x14ac:dyDescent="0.25">
      <c r="A404">
        <v>34.200000000000003</v>
      </c>
      <c r="B404" t="s">
        <v>27</v>
      </c>
      <c r="C404" t="s">
        <v>35</v>
      </c>
    </row>
    <row r="405" spans="1:3" hidden="1" x14ac:dyDescent="0.25">
      <c r="A405">
        <v>34.32</v>
      </c>
      <c r="B405" t="s">
        <v>28</v>
      </c>
      <c r="C405" t="s">
        <v>41</v>
      </c>
    </row>
    <row r="406" spans="1:3" hidden="1" x14ac:dyDescent="0.25">
      <c r="A406">
        <v>34.51</v>
      </c>
      <c r="B406" t="s">
        <v>29</v>
      </c>
      <c r="C406" t="s">
        <v>38</v>
      </c>
    </row>
    <row r="407" spans="1:3" hidden="1" x14ac:dyDescent="0.25">
      <c r="A407">
        <v>34.58</v>
      </c>
      <c r="B407" t="s">
        <v>30</v>
      </c>
      <c r="C407" t="s">
        <v>38</v>
      </c>
    </row>
    <row r="408" spans="1:3" hidden="1" x14ac:dyDescent="0.25">
      <c r="A408">
        <v>34.78</v>
      </c>
      <c r="B408" t="s">
        <v>27</v>
      </c>
      <c r="C408" t="s">
        <v>43</v>
      </c>
    </row>
    <row r="409" spans="1:3" hidden="1" x14ac:dyDescent="0.25">
      <c r="A409">
        <v>35</v>
      </c>
      <c r="B409" t="s">
        <v>24</v>
      </c>
      <c r="C409" t="s">
        <v>51</v>
      </c>
    </row>
    <row r="410" spans="1:3" hidden="1" x14ac:dyDescent="0.25">
      <c r="A410">
        <v>35</v>
      </c>
      <c r="B410" t="s">
        <v>26</v>
      </c>
      <c r="C410" t="s">
        <v>35</v>
      </c>
    </row>
    <row r="411" spans="1:3" hidden="1" x14ac:dyDescent="0.25">
      <c r="A411">
        <v>35</v>
      </c>
      <c r="B411" t="s">
        <v>27</v>
      </c>
      <c r="C411" t="s">
        <v>45</v>
      </c>
    </row>
    <row r="412" spans="1:3" hidden="1" x14ac:dyDescent="0.25">
      <c r="A412">
        <v>35</v>
      </c>
      <c r="B412" t="s">
        <v>27</v>
      </c>
      <c r="C412" t="s">
        <v>35</v>
      </c>
    </row>
    <row r="413" spans="1:3" hidden="1" x14ac:dyDescent="0.25">
      <c r="A413">
        <v>35</v>
      </c>
      <c r="B413" t="s">
        <v>27</v>
      </c>
      <c r="C413" t="s">
        <v>38</v>
      </c>
    </row>
    <row r="414" spans="1:3" hidden="1" x14ac:dyDescent="0.25">
      <c r="A414">
        <v>35.119999999999997</v>
      </c>
      <c r="B414" t="s">
        <v>26</v>
      </c>
      <c r="C414" t="s">
        <v>41</v>
      </c>
    </row>
    <row r="415" spans="1:3" hidden="1" x14ac:dyDescent="0.25">
      <c r="A415">
        <v>35.5</v>
      </c>
      <c r="B415" t="s">
        <v>26</v>
      </c>
      <c r="C415" t="s">
        <v>35</v>
      </c>
    </row>
    <row r="416" spans="1:3" hidden="1" x14ac:dyDescent="0.25">
      <c r="A416">
        <v>35.82</v>
      </c>
      <c r="B416" t="s">
        <v>23</v>
      </c>
      <c r="C416" t="s">
        <v>46</v>
      </c>
    </row>
    <row r="417" spans="1:3" hidden="1" x14ac:dyDescent="0.25">
      <c r="A417">
        <v>35.97</v>
      </c>
      <c r="B417" t="s">
        <v>31</v>
      </c>
      <c r="C417" t="s">
        <v>38</v>
      </c>
    </row>
    <row r="418" spans="1:3" hidden="1" x14ac:dyDescent="0.25">
      <c r="A418">
        <v>36.32</v>
      </c>
      <c r="B418" t="s">
        <v>23</v>
      </c>
      <c r="C418" t="s">
        <v>43</v>
      </c>
    </row>
    <row r="419" spans="1:3" hidden="1" x14ac:dyDescent="0.25">
      <c r="A419">
        <v>36.47</v>
      </c>
      <c r="B419" t="s">
        <v>29</v>
      </c>
      <c r="C419" t="s">
        <v>38</v>
      </c>
    </row>
    <row r="420" spans="1:3" hidden="1" x14ac:dyDescent="0.25">
      <c r="A420">
        <v>36.57</v>
      </c>
      <c r="B420" t="s">
        <v>22</v>
      </c>
      <c r="C420" t="s">
        <v>40</v>
      </c>
    </row>
    <row r="421" spans="1:3" hidden="1" x14ac:dyDescent="0.25">
      <c r="A421">
        <v>36.72</v>
      </c>
      <c r="B421" t="s">
        <v>24</v>
      </c>
      <c r="C421" t="s">
        <v>39</v>
      </c>
    </row>
    <row r="422" spans="1:3" hidden="1" x14ac:dyDescent="0.25">
      <c r="A422">
        <v>36.92</v>
      </c>
      <c r="B422" t="s">
        <v>30</v>
      </c>
      <c r="C422" t="s">
        <v>39</v>
      </c>
    </row>
    <row r="423" spans="1:3" hidden="1" x14ac:dyDescent="0.25">
      <c r="A423">
        <v>37.17</v>
      </c>
      <c r="B423" t="s">
        <v>25</v>
      </c>
      <c r="C423" t="s">
        <v>40</v>
      </c>
    </row>
    <row r="424" spans="1:3" hidden="1" x14ac:dyDescent="0.25">
      <c r="A424">
        <v>37.22</v>
      </c>
      <c r="B424" t="s">
        <v>29</v>
      </c>
      <c r="C424" t="s">
        <v>36</v>
      </c>
    </row>
    <row r="425" spans="1:3" hidden="1" x14ac:dyDescent="0.25">
      <c r="A425">
        <v>37.32</v>
      </c>
      <c r="B425" t="s">
        <v>29</v>
      </c>
      <c r="C425" t="s">
        <v>43</v>
      </c>
    </row>
    <row r="426" spans="1:3" hidden="1" x14ac:dyDescent="0.25">
      <c r="A426">
        <v>37.39</v>
      </c>
      <c r="B426" t="s">
        <v>24</v>
      </c>
      <c r="C426" t="s">
        <v>38</v>
      </c>
    </row>
    <row r="427" spans="1:3" hidden="1" x14ac:dyDescent="0.25">
      <c r="A427">
        <v>37.450000000000003</v>
      </c>
      <c r="B427" t="s">
        <v>24</v>
      </c>
      <c r="C427" t="s">
        <v>40</v>
      </c>
    </row>
    <row r="428" spans="1:3" hidden="1" x14ac:dyDescent="0.25">
      <c r="A428">
        <v>37.51</v>
      </c>
      <c r="B428" t="s">
        <v>23</v>
      </c>
      <c r="C428" t="s">
        <v>35</v>
      </c>
    </row>
    <row r="429" spans="1:3" hidden="1" x14ac:dyDescent="0.25">
      <c r="A429">
        <v>37.67</v>
      </c>
      <c r="B429" t="s">
        <v>23</v>
      </c>
      <c r="C429" t="s">
        <v>35</v>
      </c>
    </row>
    <row r="430" spans="1:3" hidden="1" x14ac:dyDescent="0.25">
      <c r="A430">
        <v>37.770000000000003</v>
      </c>
      <c r="B430" t="s">
        <v>32</v>
      </c>
      <c r="C430" t="s">
        <v>35</v>
      </c>
    </row>
    <row r="431" spans="1:3" hidden="1" x14ac:dyDescent="0.25">
      <c r="A431">
        <v>37.92</v>
      </c>
      <c r="B431" t="s">
        <v>26</v>
      </c>
      <c r="C431" t="s">
        <v>35</v>
      </c>
    </row>
    <row r="432" spans="1:3" hidden="1" x14ac:dyDescent="0.25">
      <c r="A432">
        <v>38.1</v>
      </c>
      <c r="B432" t="s">
        <v>25</v>
      </c>
      <c r="C432" t="s">
        <v>42</v>
      </c>
    </row>
    <row r="433" spans="1:3" hidden="1" x14ac:dyDescent="0.25">
      <c r="A433">
        <v>38.47</v>
      </c>
      <c r="B433" t="s">
        <v>30</v>
      </c>
      <c r="C433" t="s">
        <v>39</v>
      </c>
    </row>
    <row r="434" spans="1:3" hidden="1" x14ac:dyDescent="0.25">
      <c r="A434">
        <v>38.700000000000003</v>
      </c>
      <c r="B434" t="s">
        <v>22</v>
      </c>
      <c r="C434" t="s">
        <v>35</v>
      </c>
    </row>
    <row r="435" spans="1:3" hidden="1" x14ac:dyDescent="0.25">
      <c r="A435">
        <v>38.97</v>
      </c>
      <c r="B435" t="s">
        <v>24</v>
      </c>
      <c r="C435" t="s">
        <v>41</v>
      </c>
    </row>
    <row r="436" spans="1:3" hidden="1" x14ac:dyDescent="0.25">
      <c r="A436">
        <v>39.07</v>
      </c>
      <c r="B436" t="s">
        <v>29</v>
      </c>
      <c r="C436" t="s">
        <v>35</v>
      </c>
    </row>
    <row r="437" spans="1:3" hidden="1" x14ac:dyDescent="0.25">
      <c r="A437">
        <v>39.270000000000003</v>
      </c>
      <c r="B437" t="s">
        <v>27</v>
      </c>
      <c r="C437" t="s">
        <v>38</v>
      </c>
    </row>
    <row r="438" spans="1:3" hidden="1" x14ac:dyDescent="0.25">
      <c r="A438">
        <v>39.28</v>
      </c>
      <c r="B438" t="s">
        <v>28</v>
      </c>
      <c r="C438" t="s">
        <v>39</v>
      </c>
    </row>
    <row r="439" spans="1:3" hidden="1" x14ac:dyDescent="0.25">
      <c r="A439">
        <v>39.57</v>
      </c>
      <c r="B439" t="s">
        <v>32</v>
      </c>
      <c r="C439" t="s">
        <v>39</v>
      </c>
    </row>
    <row r="440" spans="1:3" hidden="1" x14ac:dyDescent="0.25">
      <c r="A440">
        <v>39.65</v>
      </c>
      <c r="B440" t="s">
        <v>22</v>
      </c>
      <c r="C440" t="s">
        <v>39</v>
      </c>
    </row>
    <row r="441" spans="1:3" hidden="1" x14ac:dyDescent="0.25">
      <c r="A441">
        <v>39.74</v>
      </c>
      <c r="B441" t="s">
        <v>27</v>
      </c>
      <c r="C441" t="s">
        <v>38</v>
      </c>
    </row>
    <row r="442" spans="1:3" hidden="1" x14ac:dyDescent="0.25">
      <c r="A442">
        <v>39.74</v>
      </c>
      <c r="B442" t="s">
        <v>31</v>
      </c>
      <c r="C442" t="s">
        <v>39</v>
      </c>
    </row>
    <row r="443" spans="1:3" hidden="1" x14ac:dyDescent="0.25">
      <c r="A443">
        <v>39.770000000000003</v>
      </c>
      <c r="B443" t="s">
        <v>23</v>
      </c>
      <c r="C443" t="s">
        <v>41</v>
      </c>
    </row>
    <row r="444" spans="1:3" hidden="1" x14ac:dyDescent="0.25">
      <c r="A444">
        <v>39.770000000000003</v>
      </c>
      <c r="B444" t="s">
        <v>25</v>
      </c>
      <c r="C444" t="s">
        <v>34</v>
      </c>
    </row>
    <row r="445" spans="1:3" hidden="1" x14ac:dyDescent="0.25">
      <c r="A445">
        <v>39.78</v>
      </c>
      <c r="B445" t="s">
        <v>27</v>
      </c>
      <c r="C445" t="s">
        <v>35</v>
      </c>
    </row>
    <row r="446" spans="1:3" hidden="1" x14ac:dyDescent="0.25">
      <c r="A446">
        <v>39.82</v>
      </c>
      <c r="B446" t="s">
        <v>23</v>
      </c>
      <c r="C446" t="s">
        <v>38</v>
      </c>
    </row>
    <row r="447" spans="1:3" hidden="1" x14ac:dyDescent="0.25">
      <c r="A447">
        <v>39.89</v>
      </c>
      <c r="B447" t="s">
        <v>29</v>
      </c>
      <c r="C447" t="s">
        <v>39</v>
      </c>
    </row>
    <row r="448" spans="1:3" x14ac:dyDescent="0.25">
      <c r="A448">
        <v>39.92</v>
      </c>
      <c r="B448" t="s">
        <v>25</v>
      </c>
      <c r="C448" t="s">
        <v>54</v>
      </c>
    </row>
    <row r="449" spans="1:3" hidden="1" x14ac:dyDescent="0.25">
      <c r="A449">
        <v>40</v>
      </c>
      <c r="B449" t="s">
        <v>23</v>
      </c>
      <c r="C449" t="s">
        <v>44</v>
      </c>
    </row>
    <row r="450" spans="1:3" hidden="1" x14ac:dyDescent="0.25">
      <c r="A450">
        <v>40</v>
      </c>
      <c r="B450" t="s">
        <v>23</v>
      </c>
      <c r="C450" t="s">
        <v>35</v>
      </c>
    </row>
    <row r="451" spans="1:3" hidden="1" x14ac:dyDescent="0.25">
      <c r="A451">
        <v>40</v>
      </c>
      <c r="B451" t="s">
        <v>23</v>
      </c>
      <c r="C451" t="s">
        <v>40</v>
      </c>
    </row>
    <row r="452" spans="1:3" hidden="1" x14ac:dyDescent="0.25">
      <c r="A452">
        <v>40</v>
      </c>
      <c r="B452" t="s">
        <v>23</v>
      </c>
      <c r="C452" t="s">
        <v>41</v>
      </c>
    </row>
    <row r="453" spans="1:3" hidden="1" x14ac:dyDescent="0.25">
      <c r="A453">
        <v>40</v>
      </c>
      <c r="B453" t="s">
        <v>24</v>
      </c>
      <c r="C453" t="s">
        <v>35</v>
      </c>
    </row>
    <row r="454" spans="1:3" hidden="1" x14ac:dyDescent="0.25">
      <c r="A454">
        <v>40</v>
      </c>
      <c r="B454" t="s">
        <v>24</v>
      </c>
      <c r="C454" t="s">
        <v>35</v>
      </c>
    </row>
    <row r="455" spans="1:3" hidden="1" x14ac:dyDescent="0.25">
      <c r="A455">
        <v>40</v>
      </c>
      <c r="B455" t="s">
        <v>24</v>
      </c>
      <c r="C455" t="s">
        <v>37</v>
      </c>
    </row>
    <row r="456" spans="1:3" hidden="1" x14ac:dyDescent="0.25">
      <c r="A456">
        <v>40</v>
      </c>
      <c r="B456" t="s">
        <v>24</v>
      </c>
      <c r="C456" t="s">
        <v>38</v>
      </c>
    </row>
    <row r="457" spans="1:3" hidden="1" x14ac:dyDescent="0.25">
      <c r="A457">
        <v>40</v>
      </c>
      <c r="B457" t="s">
        <v>24</v>
      </c>
      <c r="C457" t="s">
        <v>41</v>
      </c>
    </row>
    <row r="458" spans="1:3" hidden="1" x14ac:dyDescent="0.25">
      <c r="A458">
        <v>40</v>
      </c>
      <c r="B458" t="s">
        <v>25</v>
      </c>
      <c r="C458" t="s">
        <v>44</v>
      </c>
    </row>
    <row r="459" spans="1:3" hidden="1" x14ac:dyDescent="0.25">
      <c r="A459">
        <v>40</v>
      </c>
      <c r="B459" t="s">
        <v>25</v>
      </c>
      <c r="C459" t="s">
        <v>41</v>
      </c>
    </row>
    <row r="460" spans="1:3" hidden="1" x14ac:dyDescent="0.25">
      <c r="A460">
        <v>40</v>
      </c>
      <c r="B460" t="s">
        <v>26</v>
      </c>
      <c r="C460" t="s">
        <v>35</v>
      </c>
    </row>
    <row r="461" spans="1:3" hidden="1" x14ac:dyDescent="0.25">
      <c r="A461">
        <v>40</v>
      </c>
      <c r="B461" t="s">
        <v>26</v>
      </c>
      <c r="C461" t="s">
        <v>39</v>
      </c>
    </row>
    <row r="462" spans="1:3" hidden="1" x14ac:dyDescent="0.25">
      <c r="A462">
        <v>40</v>
      </c>
      <c r="B462" t="s">
        <v>27</v>
      </c>
      <c r="C462" t="s">
        <v>45</v>
      </c>
    </row>
    <row r="463" spans="1:3" hidden="1" x14ac:dyDescent="0.25">
      <c r="A463">
        <v>40</v>
      </c>
      <c r="B463" t="s">
        <v>27</v>
      </c>
      <c r="C463" t="s">
        <v>35</v>
      </c>
    </row>
    <row r="464" spans="1:3" hidden="1" x14ac:dyDescent="0.25">
      <c r="A464">
        <v>40</v>
      </c>
      <c r="B464" t="s">
        <v>27</v>
      </c>
      <c r="C464" t="s">
        <v>35</v>
      </c>
    </row>
    <row r="465" spans="1:3" hidden="1" x14ac:dyDescent="0.25">
      <c r="A465">
        <v>40</v>
      </c>
      <c r="B465" t="s">
        <v>27</v>
      </c>
      <c r="C465" t="s">
        <v>38</v>
      </c>
    </row>
    <row r="466" spans="1:3" hidden="1" x14ac:dyDescent="0.25">
      <c r="A466">
        <v>40</v>
      </c>
      <c r="B466" t="s">
        <v>27</v>
      </c>
      <c r="C466" t="s">
        <v>38</v>
      </c>
    </row>
    <row r="467" spans="1:3" hidden="1" x14ac:dyDescent="0.25">
      <c r="A467">
        <v>40</v>
      </c>
      <c r="B467" t="s">
        <v>28</v>
      </c>
      <c r="C467" t="s">
        <v>38</v>
      </c>
    </row>
    <row r="468" spans="1:3" hidden="1" x14ac:dyDescent="0.25">
      <c r="A468">
        <v>40</v>
      </c>
      <c r="B468" t="s">
        <v>29</v>
      </c>
      <c r="C468" t="s">
        <v>43</v>
      </c>
    </row>
    <row r="469" spans="1:3" hidden="1" x14ac:dyDescent="0.25">
      <c r="A469">
        <v>40</v>
      </c>
      <c r="B469" t="s">
        <v>29</v>
      </c>
      <c r="C469" t="s">
        <v>43</v>
      </c>
    </row>
    <row r="470" spans="1:3" hidden="1" x14ac:dyDescent="0.25">
      <c r="A470">
        <v>40</v>
      </c>
      <c r="B470" t="s">
        <v>29</v>
      </c>
      <c r="C470" t="s">
        <v>35</v>
      </c>
    </row>
    <row r="471" spans="1:3" hidden="1" x14ac:dyDescent="0.25">
      <c r="A471">
        <v>40</v>
      </c>
      <c r="B471" t="s">
        <v>29</v>
      </c>
      <c r="C471" t="s">
        <v>37</v>
      </c>
    </row>
    <row r="472" spans="1:3" hidden="1" x14ac:dyDescent="0.25">
      <c r="A472">
        <v>40</v>
      </c>
      <c r="B472" t="s">
        <v>30</v>
      </c>
      <c r="C472" t="s">
        <v>43</v>
      </c>
    </row>
    <row r="473" spans="1:3" hidden="1" x14ac:dyDescent="0.25">
      <c r="A473">
        <v>40</v>
      </c>
      <c r="B473" t="s">
        <v>30</v>
      </c>
      <c r="C473" t="s">
        <v>35</v>
      </c>
    </row>
    <row r="474" spans="1:3" hidden="1" x14ac:dyDescent="0.25">
      <c r="A474">
        <v>40</v>
      </c>
      <c r="B474" t="s">
        <v>30</v>
      </c>
      <c r="C474" t="s">
        <v>35</v>
      </c>
    </row>
    <row r="475" spans="1:3" hidden="1" x14ac:dyDescent="0.25">
      <c r="A475">
        <v>40</v>
      </c>
      <c r="B475" t="s">
        <v>30</v>
      </c>
      <c r="C475" t="s">
        <v>39</v>
      </c>
    </row>
    <row r="476" spans="1:3" hidden="1" x14ac:dyDescent="0.25">
      <c r="A476">
        <v>40</v>
      </c>
      <c r="B476" t="s">
        <v>32</v>
      </c>
      <c r="C476" t="s">
        <v>44</v>
      </c>
    </row>
    <row r="477" spans="1:3" hidden="1" x14ac:dyDescent="0.25">
      <c r="A477">
        <v>40</v>
      </c>
      <c r="B477" t="s">
        <v>32</v>
      </c>
      <c r="C477" t="s">
        <v>44</v>
      </c>
    </row>
    <row r="478" spans="1:3" hidden="1" x14ac:dyDescent="0.25">
      <c r="A478">
        <v>40</v>
      </c>
      <c r="B478" t="s">
        <v>32</v>
      </c>
      <c r="C478" t="s">
        <v>35</v>
      </c>
    </row>
    <row r="479" spans="1:3" hidden="1" x14ac:dyDescent="0.25">
      <c r="A479">
        <v>40</v>
      </c>
      <c r="B479" t="s">
        <v>32</v>
      </c>
      <c r="C479" t="s">
        <v>35</v>
      </c>
    </row>
    <row r="480" spans="1:3" hidden="1" x14ac:dyDescent="0.25">
      <c r="A480">
        <v>40</v>
      </c>
      <c r="B480" t="s">
        <v>32</v>
      </c>
      <c r="C480" t="s">
        <v>35</v>
      </c>
    </row>
    <row r="481" spans="1:3" hidden="1" x14ac:dyDescent="0.25">
      <c r="A481">
        <v>40</v>
      </c>
      <c r="B481" t="s">
        <v>32</v>
      </c>
      <c r="C481" t="s">
        <v>35</v>
      </c>
    </row>
    <row r="482" spans="1:3" hidden="1" x14ac:dyDescent="0.25">
      <c r="A482">
        <v>40</v>
      </c>
      <c r="B482" t="s">
        <v>32</v>
      </c>
      <c r="C482" t="s">
        <v>35</v>
      </c>
    </row>
    <row r="483" spans="1:3" hidden="1" x14ac:dyDescent="0.25">
      <c r="A483">
        <v>40</v>
      </c>
      <c r="B483" t="s">
        <v>32</v>
      </c>
      <c r="C483" t="s">
        <v>38</v>
      </c>
    </row>
    <row r="484" spans="1:3" hidden="1" x14ac:dyDescent="0.25">
      <c r="A484">
        <v>40.049999999999997</v>
      </c>
      <c r="B484" t="s">
        <v>27</v>
      </c>
      <c r="C484" t="s">
        <v>44</v>
      </c>
    </row>
    <row r="485" spans="1:3" x14ac:dyDescent="0.25">
      <c r="A485">
        <v>40.36</v>
      </c>
      <c r="B485" t="s">
        <v>29</v>
      </c>
      <c r="C485" t="s">
        <v>50</v>
      </c>
    </row>
    <row r="486" spans="1:3" hidden="1" x14ac:dyDescent="0.25">
      <c r="A486">
        <v>40.630000000000003</v>
      </c>
      <c r="B486" t="s">
        <v>26</v>
      </c>
      <c r="C486" t="s">
        <v>38</v>
      </c>
    </row>
    <row r="487" spans="1:3" hidden="1" x14ac:dyDescent="0.25">
      <c r="A487">
        <v>40.76</v>
      </c>
      <c r="B487" t="s">
        <v>29</v>
      </c>
      <c r="C487" t="s">
        <v>38</v>
      </c>
    </row>
    <row r="488" spans="1:3" hidden="1" x14ac:dyDescent="0.25">
      <c r="A488">
        <v>41.01</v>
      </c>
      <c r="B488" t="s">
        <v>23</v>
      </c>
      <c r="C488" t="s">
        <v>38</v>
      </c>
    </row>
    <row r="489" spans="1:3" hidden="1" x14ac:dyDescent="0.25">
      <c r="A489">
        <v>41.01</v>
      </c>
      <c r="B489" t="s">
        <v>26</v>
      </c>
      <c r="C489" t="s">
        <v>35</v>
      </c>
    </row>
    <row r="490" spans="1:3" hidden="1" x14ac:dyDescent="0.25">
      <c r="A490">
        <v>41.04</v>
      </c>
      <c r="B490" t="s">
        <v>26</v>
      </c>
      <c r="C490" t="s">
        <v>38</v>
      </c>
    </row>
    <row r="491" spans="1:3" hidden="1" x14ac:dyDescent="0.25">
      <c r="A491">
        <v>41.06</v>
      </c>
      <c r="B491" t="s">
        <v>25</v>
      </c>
      <c r="C491" t="s">
        <v>35</v>
      </c>
    </row>
    <row r="492" spans="1:3" hidden="1" x14ac:dyDescent="0.25">
      <c r="A492">
        <v>41.26</v>
      </c>
      <c r="B492" t="s">
        <v>24</v>
      </c>
      <c r="C492" t="s">
        <v>35</v>
      </c>
    </row>
    <row r="493" spans="1:3" hidden="1" x14ac:dyDescent="0.25">
      <c r="A493">
        <v>41.91</v>
      </c>
      <c r="B493" t="s">
        <v>25</v>
      </c>
      <c r="C493" t="s">
        <v>41</v>
      </c>
    </row>
    <row r="494" spans="1:3" hidden="1" x14ac:dyDescent="0.25">
      <c r="A494">
        <v>41.96</v>
      </c>
      <c r="B494" t="s">
        <v>22</v>
      </c>
      <c r="C494" t="s">
        <v>35</v>
      </c>
    </row>
    <row r="495" spans="1:3" hidden="1" x14ac:dyDescent="0.25">
      <c r="A495">
        <v>41.96</v>
      </c>
      <c r="B495" t="s">
        <v>30</v>
      </c>
      <c r="C495" t="s">
        <v>35</v>
      </c>
    </row>
    <row r="496" spans="1:3" hidden="1" x14ac:dyDescent="0.25">
      <c r="A496">
        <v>42.01</v>
      </c>
      <c r="B496" t="s">
        <v>27</v>
      </c>
      <c r="C496" t="s">
        <v>38</v>
      </c>
    </row>
    <row r="497" spans="1:3" hidden="1" x14ac:dyDescent="0.25">
      <c r="A497">
        <v>42.11</v>
      </c>
      <c r="B497" t="s">
        <v>23</v>
      </c>
      <c r="C497" t="s">
        <v>49</v>
      </c>
    </row>
    <row r="498" spans="1:3" hidden="1" x14ac:dyDescent="0.25">
      <c r="A498">
        <v>42.52</v>
      </c>
      <c r="B498" t="s">
        <v>25</v>
      </c>
      <c r="C498" t="s">
        <v>35</v>
      </c>
    </row>
    <row r="499" spans="1:3" hidden="1" x14ac:dyDescent="0.25">
      <c r="A499">
        <v>42.88</v>
      </c>
      <c r="B499" t="s">
        <v>30</v>
      </c>
      <c r="C499" t="s">
        <v>38</v>
      </c>
    </row>
    <row r="500" spans="1:3" hidden="1" x14ac:dyDescent="0.25">
      <c r="A500">
        <v>43.21</v>
      </c>
      <c r="B500" t="s">
        <v>30</v>
      </c>
      <c r="C500" t="s">
        <v>40</v>
      </c>
    </row>
    <row r="501" spans="1:3" hidden="1" x14ac:dyDescent="0.25">
      <c r="A501">
        <v>43.26</v>
      </c>
      <c r="B501" t="s">
        <v>27</v>
      </c>
      <c r="C501" t="s">
        <v>35</v>
      </c>
    </row>
    <row r="502" spans="1:3" hidden="1" x14ac:dyDescent="0.25">
      <c r="A502">
        <v>43.26</v>
      </c>
      <c r="B502" t="s">
        <v>27</v>
      </c>
      <c r="C502" t="s">
        <v>39</v>
      </c>
    </row>
    <row r="503" spans="1:3" hidden="1" x14ac:dyDescent="0.25">
      <c r="A503">
        <v>43.47</v>
      </c>
      <c r="B503" t="s">
        <v>26</v>
      </c>
      <c r="C503" t="s">
        <v>39</v>
      </c>
    </row>
    <row r="504" spans="1:3" hidden="1" x14ac:dyDescent="0.25">
      <c r="A504">
        <v>43.91</v>
      </c>
      <c r="B504" t="s">
        <v>29</v>
      </c>
      <c r="C504" t="s">
        <v>43</v>
      </c>
    </row>
    <row r="505" spans="1:3" hidden="1" x14ac:dyDescent="0.25">
      <c r="A505">
        <v>44.01</v>
      </c>
      <c r="B505" t="s">
        <v>30</v>
      </c>
      <c r="C505" t="s">
        <v>38</v>
      </c>
    </row>
    <row r="506" spans="1:3" hidden="1" x14ac:dyDescent="0.25">
      <c r="A506">
        <v>44.16</v>
      </c>
      <c r="B506" t="s">
        <v>24</v>
      </c>
      <c r="C506" t="s">
        <v>40</v>
      </c>
    </row>
    <row r="507" spans="1:3" hidden="1" x14ac:dyDescent="0.25">
      <c r="A507">
        <v>44.21</v>
      </c>
      <c r="B507" t="s">
        <v>30</v>
      </c>
      <c r="C507" t="s">
        <v>49</v>
      </c>
    </row>
    <row r="508" spans="1:3" hidden="1" x14ac:dyDescent="0.25">
      <c r="A508">
        <v>44.29</v>
      </c>
      <c r="B508" t="s">
        <v>31</v>
      </c>
      <c r="C508" t="s">
        <v>35</v>
      </c>
    </row>
    <row r="509" spans="1:3" hidden="1" x14ac:dyDescent="0.25">
      <c r="A509">
        <v>44.46</v>
      </c>
      <c r="B509" t="s">
        <v>26</v>
      </c>
      <c r="C509" t="s">
        <v>36</v>
      </c>
    </row>
    <row r="510" spans="1:3" hidden="1" x14ac:dyDescent="0.25">
      <c r="A510">
        <v>44.56</v>
      </c>
      <c r="B510" t="s">
        <v>23</v>
      </c>
      <c r="C510" t="s">
        <v>35</v>
      </c>
    </row>
    <row r="511" spans="1:3" hidden="1" x14ac:dyDescent="0.25">
      <c r="A511">
        <v>44.56</v>
      </c>
      <c r="B511" t="s">
        <v>32</v>
      </c>
      <c r="C511" t="s">
        <v>36</v>
      </c>
    </row>
    <row r="512" spans="1:3" hidden="1" x14ac:dyDescent="0.25">
      <c r="A512">
        <v>44.66</v>
      </c>
      <c r="B512" t="s">
        <v>27</v>
      </c>
      <c r="C512" t="s">
        <v>35</v>
      </c>
    </row>
    <row r="513" spans="1:3" hidden="1" x14ac:dyDescent="0.25">
      <c r="A513">
        <v>45</v>
      </c>
      <c r="B513" t="s">
        <v>23</v>
      </c>
      <c r="C513" t="s">
        <v>35</v>
      </c>
    </row>
    <row r="514" spans="1:3" hidden="1" x14ac:dyDescent="0.25">
      <c r="A514">
        <v>45</v>
      </c>
      <c r="B514" t="s">
        <v>23</v>
      </c>
      <c r="C514" t="s">
        <v>41</v>
      </c>
    </row>
    <row r="515" spans="1:3" hidden="1" x14ac:dyDescent="0.25">
      <c r="A515">
        <v>45</v>
      </c>
      <c r="B515" t="s">
        <v>25</v>
      </c>
      <c r="C515" t="s">
        <v>38</v>
      </c>
    </row>
    <row r="516" spans="1:3" hidden="1" x14ac:dyDescent="0.25">
      <c r="A516">
        <v>45</v>
      </c>
      <c r="B516" t="s">
        <v>26</v>
      </c>
      <c r="C516" t="s">
        <v>46</v>
      </c>
    </row>
    <row r="517" spans="1:3" hidden="1" x14ac:dyDescent="0.25">
      <c r="A517">
        <v>45</v>
      </c>
      <c r="B517" t="s">
        <v>30</v>
      </c>
      <c r="C517" t="s">
        <v>36</v>
      </c>
    </row>
    <row r="518" spans="1:3" hidden="1" x14ac:dyDescent="0.25">
      <c r="A518">
        <v>45.02</v>
      </c>
      <c r="B518" t="s">
        <v>32</v>
      </c>
      <c r="C518" t="s">
        <v>38</v>
      </c>
    </row>
    <row r="519" spans="1:3" hidden="1" x14ac:dyDescent="0.25">
      <c r="A519">
        <v>45.15</v>
      </c>
      <c r="B519" t="s">
        <v>23</v>
      </c>
      <c r="C519" t="s">
        <v>39</v>
      </c>
    </row>
    <row r="520" spans="1:3" hidden="1" x14ac:dyDescent="0.25">
      <c r="A520">
        <v>45.15</v>
      </c>
      <c r="B520" t="s">
        <v>28</v>
      </c>
      <c r="C520" t="s">
        <v>53</v>
      </c>
    </row>
    <row r="521" spans="1:3" hidden="1" x14ac:dyDescent="0.25">
      <c r="A521">
        <v>45.55</v>
      </c>
      <c r="B521" t="s">
        <v>27</v>
      </c>
      <c r="C521" t="s">
        <v>40</v>
      </c>
    </row>
    <row r="522" spans="1:3" hidden="1" x14ac:dyDescent="0.25">
      <c r="A522">
        <v>46</v>
      </c>
      <c r="B522" t="s">
        <v>24</v>
      </c>
      <c r="C522" t="s">
        <v>35</v>
      </c>
    </row>
    <row r="523" spans="1:3" hidden="1" x14ac:dyDescent="0.25">
      <c r="A523">
        <v>46.75</v>
      </c>
      <c r="B523" t="s">
        <v>30</v>
      </c>
      <c r="C523" t="s">
        <v>38</v>
      </c>
    </row>
    <row r="524" spans="1:3" hidden="1" x14ac:dyDescent="0.25">
      <c r="A524">
        <v>47.08</v>
      </c>
      <c r="B524" t="s">
        <v>24</v>
      </c>
      <c r="C524" t="s">
        <v>36</v>
      </c>
    </row>
    <row r="525" spans="1:3" hidden="1" x14ac:dyDescent="0.25">
      <c r="A525">
        <v>47.3</v>
      </c>
      <c r="B525" t="s">
        <v>30</v>
      </c>
      <c r="C525" t="s">
        <v>39</v>
      </c>
    </row>
    <row r="526" spans="1:3" hidden="1" x14ac:dyDescent="0.25">
      <c r="A526">
        <v>47.8</v>
      </c>
      <c r="B526" t="s">
        <v>27</v>
      </c>
      <c r="C526" t="s">
        <v>35</v>
      </c>
    </row>
    <row r="527" spans="1:3" hidden="1" x14ac:dyDescent="0.25">
      <c r="A527">
        <v>47.9</v>
      </c>
      <c r="B527" t="s">
        <v>23</v>
      </c>
      <c r="C527" t="s">
        <v>35</v>
      </c>
    </row>
    <row r="528" spans="1:3" hidden="1" x14ac:dyDescent="0.25">
      <c r="A528">
        <v>47.92</v>
      </c>
      <c r="B528" t="s">
        <v>22</v>
      </c>
      <c r="C528" t="s">
        <v>35</v>
      </c>
    </row>
    <row r="529" spans="1:3" hidden="1" x14ac:dyDescent="0.25">
      <c r="A529">
        <v>48.15</v>
      </c>
      <c r="B529" t="s">
        <v>30</v>
      </c>
      <c r="C529" t="s">
        <v>41</v>
      </c>
    </row>
    <row r="530" spans="1:3" hidden="1" x14ac:dyDescent="0.25">
      <c r="A530">
        <v>48.2</v>
      </c>
      <c r="B530" t="s">
        <v>24</v>
      </c>
      <c r="C530" t="s">
        <v>41</v>
      </c>
    </row>
    <row r="531" spans="1:3" hidden="1" x14ac:dyDescent="0.25">
      <c r="A531">
        <v>48.45</v>
      </c>
      <c r="B531" t="s">
        <v>27</v>
      </c>
      <c r="C531" t="s">
        <v>39</v>
      </c>
    </row>
    <row r="532" spans="1:3" hidden="1" x14ac:dyDescent="0.25">
      <c r="A532">
        <v>48.51</v>
      </c>
      <c r="B532" t="s">
        <v>27</v>
      </c>
      <c r="C532" t="s">
        <v>39</v>
      </c>
    </row>
    <row r="533" spans="1:3" hidden="1" x14ac:dyDescent="0.25">
      <c r="A533">
        <v>48.55</v>
      </c>
      <c r="B533" t="s">
        <v>31</v>
      </c>
      <c r="C533" t="s">
        <v>40</v>
      </c>
    </row>
    <row r="534" spans="1:3" hidden="1" x14ac:dyDescent="0.25">
      <c r="A534">
        <v>48.64</v>
      </c>
      <c r="B534" t="s">
        <v>26</v>
      </c>
      <c r="C534" t="s">
        <v>39</v>
      </c>
    </row>
    <row r="535" spans="1:3" hidden="1" x14ac:dyDescent="0.25">
      <c r="A535">
        <v>48.65</v>
      </c>
      <c r="B535" t="s">
        <v>26</v>
      </c>
      <c r="C535" t="s">
        <v>38</v>
      </c>
    </row>
    <row r="536" spans="1:3" hidden="1" x14ac:dyDescent="0.25">
      <c r="A536">
        <v>48.7</v>
      </c>
      <c r="B536" t="s">
        <v>25</v>
      </c>
      <c r="C536" t="s">
        <v>37</v>
      </c>
    </row>
    <row r="537" spans="1:3" hidden="1" x14ac:dyDescent="0.25">
      <c r="A537">
        <v>48.7</v>
      </c>
      <c r="B537" t="s">
        <v>25</v>
      </c>
      <c r="C537" t="s">
        <v>39</v>
      </c>
    </row>
    <row r="538" spans="1:3" hidden="1" x14ac:dyDescent="0.25">
      <c r="A538">
        <v>48.75</v>
      </c>
      <c r="B538" t="s">
        <v>29</v>
      </c>
      <c r="C538" t="s">
        <v>43</v>
      </c>
    </row>
    <row r="539" spans="1:3" hidden="1" x14ac:dyDescent="0.25">
      <c r="A539">
        <v>48.75</v>
      </c>
      <c r="B539" t="s">
        <v>32</v>
      </c>
      <c r="C539" t="s">
        <v>39</v>
      </c>
    </row>
    <row r="540" spans="1:3" hidden="1" x14ac:dyDescent="0.25">
      <c r="A540">
        <v>48.81</v>
      </c>
      <c r="B540" t="s">
        <v>28</v>
      </c>
      <c r="C540" t="s">
        <v>35</v>
      </c>
    </row>
    <row r="541" spans="1:3" hidden="1" x14ac:dyDescent="0.25">
      <c r="A541">
        <v>48.85</v>
      </c>
      <c r="B541" t="s">
        <v>22</v>
      </c>
      <c r="C541" t="s">
        <v>38</v>
      </c>
    </row>
    <row r="542" spans="1:3" hidden="1" x14ac:dyDescent="0.25">
      <c r="A542">
        <v>48.85</v>
      </c>
      <c r="B542" t="s">
        <v>25</v>
      </c>
      <c r="C542" t="s">
        <v>34</v>
      </c>
    </row>
    <row r="543" spans="1:3" hidden="1" x14ac:dyDescent="0.25">
      <c r="A543">
        <v>49.05</v>
      </c>
      <c r="B543" t="s">
        <v>23</v>
      </c>
      <c r="C543" t="s">
        <v>39</v>
      </c>
    </row>
    <row r="544" spans="1:3" hidden="1" x14ac:dyDescent="0.25">
      <c r="A544">
        <v>49.05</v>
      </c>
      <c r="B544" t="s">
        <v>27</v>
      </c>
      <c r="C544" t="s">
        <v>35</v>
      </c>
    </row>
    <row r="545" spans="1:3" hidden="1" x14ac:dyDescent="0.25">
      <c r="A545">
        <v>49.3</v>
      </c>
      <c r="B545" t="s">
        <v>23</v>
      </c>
      <c r="C545" t="s">
        <v>35</v>
      </c>
    </row>
    <row r="546" spans="1:3" hidden="1" x14ac:dyDescent="0.25">
      <c r="A546">
        <v>49.47</v>
      </c>
      <c r="B546" t="s">
        <v>23</v>
      </c>
      <c r="C546" t="s">
        <v>39</v>
      </c>
    </row>
    <row r="547" spans="1:3" hidden="1" x14ac:dyDescent="0.25">
      <c r="A547">
        <v>49.65</v>
      </c>
      <c r="B547" t="s">
        <v>23</v>
      </c>
      <c r="C547" t="s">
        <v>35</v>
      </c>
    </row>
    <row r="548" spans="1:3" hidden="1" x14ac:dyDescent="0.25">
      <c r="A548">
        <v>49.65</v>
      </c>
      <c r="B548" t="s">
        <v>23</v>
      </c>
      <c r="C548" t="s">
        <v>35</v>
      </c>
    </row>
    <row r="549" spans="1:3" hidden="1" x14ac:dyDescent="0.25">
      <c r="A549">
        <v>49.9</v>
      </c>
      <c r="B549" t="s">
        <v>23</v>
      </c>
      <c r="C549" t="s">
        <v>36</v>
      </c>
    </row>
    <row r="550" spans="1:3" hidden="1" x14ac:dyDescent="0.25">
      <c r="A550">
        <v>49.99</v>
      </c>
      <c r="B550" t="s">
        <v>26</v>
      </c>
      <c r="C550" t="s">
        <v>39</v>
      </c>
    </row>
    <row r="551" spans="1:3" hidden="1" x14ac:dyDescent="0.25">
      <c r="A551">
        <v>50</v>
      </c>
      <c r="B551" t="s">
        <v>22</v>
      </c>
      <c r="C551" t="s">
        <v>36</v>
      </c>
    </row>
    <row r="552" spans="1:3" hidden="1" x14ac:dyDescent="0.25">
      <c r="A552">
        <v>50</v>
      </c>
      <c r="B552" t="s">
        <v>22</v>
      </c>
      <c r="C552" t="s">
        <v>37</v>
      </c>
    </row>
    <row r="553" spans="1:3" hidden="1" x14ac:dyDescent="0.25">
      <c r="A553">
        <v>50</v>
      </c>
      <c r="B553" t="s">
        <v>23</v>
      </c>
      <c r="C553" t="s">
        <v>35</v>
      </c>
    </row>
    <row r="554" spans="1:3" hidden="1" x14ac:dyDescent="0.25">
      <c r="A554">
        <v>50</v>
      </c>
      <c r="B554" t="s">
        <v>23</v>
      </c>
      <c r="C554" t="s">
        <v>35</v>
      </c>
    </row>
    <row r="555" spans="1:3" hidden="1" x14ac:dyDescent="0.25">
      <c r="A555">
        <v>50</v>
      </c>
      <c r="B555" t="s">
        <v>23</v>
      </c>
      <c r="C555" t="s">
        <v>35</v>
      </c>
    </row>
    <row r="556" spans="1:3" hidden="1" x14ac:dyDescent="0.25">
      <c r="A556">
        <v>50</v>
      </c>
      <c r="B556" t="s">
        <v>23</v>
      </c>
      <c r="C556" t="s">
        <v>35</v>
      </c>
    </row>
    <row r="557" spans="1:3" hidden="1" x14ac:dyDescent="0.25">
      <c r="A557">
        <v>50</v>
      </c>
      <c r="B557" t="s">
        <v>23</v>
      </c>
      <c r="C557" t="s">
        <v>35</v>
      </c>
    </row>
    <row r="558" spans="1:3" hidden="1" x14ac:dyDescent="0.25">
      <c r="A558">
        <v>50</v>
      </c>
      <c r="B558" t="s">
        <v>23</v>
      </c>
      <c r="C558" t="s">
        <v>48</v>
      </c>
    </row>
    <row r="559" spans="1:3" hidden="1" x14ac:dyDescent="0.25">
      <c r="A559">
        <v>50</v>
      </c>
      <c r="B559" t="s">
        <v>23</v>
      </c>
      <c r="C559" t="s">
        <v>36</v>
      </c>
    </row>
    <row r="560" spans="1:3" hidden="1" x14ac:dyDescent="0.25">
      <c r="A560">
        <v>50</v>
      </c>
      <c r="B560" t="s">
        <v>23</v>
      </c>
      <c r="C560" t="s">
        <v>37</v>
      </c>
    </row>
    <row r="561" spans="1:3" hidden="1" x14ac:dyDescent="0.25">
      <c r="A561">
        <v>50</v>
      </c>
      <c r="B561" t="s">
        <v>23</v>
      </c>
      <c r="C561" t="s">
        <v>38</v>
      </c>
    </row>
    <row r="562" spans="1:3" hidden="1" x14ac:dyDescent="0.25">
      <c r="A562">
        <v>50</v>
      </c>
      <c r="B562" t="s">
        <v>23</v>
      </c>
      <c r="C562" t="s">
        <v>38</v>
      </c>
    </row>
    <row r="563" spans="1:3" hidden="1" x14ac:dyDescent="0.25">
      <c r="A563">
        <v>50</v>
      </c>
      <c r="B563" t="s">
        <v>23</v>
      </c>
      <c r="C563" t="s">
        <v>39</v>
      </c>
    </row>
    <row r="564" spans="1:3" hidden="1" x14ac:dyDescent="0.25">
      <c r="A564">
        <v>50</v>
      </c>
      <c r="B564" t="s">
        <v>23</v>
      </c>
      <c r="C564" t="s">
        <v>39</v>
      </c>
    </row>
    <row r="565" spans="1:3" hidden="1" x14ac:dyDescent="0.25">
      <c r="A565">
        <v>50</v>
      </c>
      <c r="B565" t="s">
        <v>23</v>
      </c>
      <c r="C565" t="s">
        <v>41</v>
      </c>
    </row>
    <row r="566" spans="1:3" hidden="1" x14ac:dyDescent="0.25">
      <c r="A566">
        <v>50</v>
      </c>
      <c r="B566" t="s">
        <v>24</v>
      </c>
      <c r="C566" t="s">
        <v>35</v>
      </c>
    </row>
    <row r="567" spans="1:3" hidden="1" x14ac:dyDescent="0.25">
      <c r="A567">
        <v>50</v>
      </c>
      <c r="B567" t="s">
        <v>24</v>
      </c>
      <c r="C567" t="s">
        <v>35</v>
      </c>
    </row>
    <row r="568" spans="1:3" hidden="1" x14ac:dyDescent="0.25">
      <c r="A568">
        <v>50</v>
      </c>
      <c r="B568" t="s">
        <v>24</v>
      </c>
      <c r="C568" t="s">
        <v>36</v>
      </c>
    </row>
    <row r="569" spans="1:3" hidden="1" x14ac:dyDescent="0.25">
      <c r="A569">
        <v>50</v>
      </c>
      <c r="B569" t="s">
        <v>24</v>
      </c>
      <c r="C569" t="s">
        <v>37</v>
      </c>
    </row>
    <row r="570" spans="1:3" hidden="1" x14ac:dyDescent="0.25">
      <c r="A570">
        <v>50</v>
      </c>
      <c r="B570" t="s">
        <v>24</v>
      </c>
      <c r="C570" t="s">
        <v>39</v>
      </c>
    </row>
    <row r="571" spans="1:3" hidden="1" x14ac:dyDescent="0.25">
      <c r="A571">
        <v>50</v>
      </c>
      <c r="B571" t="s">
        <v>24</v>
      </c>
      <c r="C571" t="s">
        <v>39</v>
      </c>
    </row>
    <row r="572" spans="1:3" hidden="1" x14ac:dyDescent="0.25">
      <c r="A572">
        <v>50</v>
      </c>
      <c r="B572" t="s">
        <v>24</v>
      </c>
      <c r="C572" t="s">
        <v>39</v>
      </c>
    </row>
    <row r="573" spans="1:3" hidden="1" x14ac:dyDescent="0.25">
      <c r="A573">
        <v>50</v>
      </c>
      <c r="B573" t="s">
        <v>24</v>
      </c>
      <c r="C573" t="s">
        <v>41</v>
      </c>
    </row>
    <row r="574" spans="1:3" hidden="1" x14ac:dyDescent="0.25">
      <c r="A574">
        <v>50</v>
      </c>
      <c r="B574" t="s">
        <v>25</v>
      </c>
      <c r="C574" t="s">
        <v>35</v>
      </c>
    </row>
    <row r="575" spans="1:3" hidden="1" x14ac:dyDescent="0.25">
      <c r="A575">
        <v>50</v>
      </c>
      <c r="B575" t="s">
        <v>25</v>
      </c>
      <c r="C575" t="s">
        <v>35</v>
      </c>
    </row>
    <row r="576" spans="1:3" hidden="1" x14ac:dyDescent="0.25">
      <c r="A576">
        <v>50</v>
      </c>
      <c r="B576" t="s">
        <v>25</v>
      </c>
      <c r="C576" t="s">
        <v>35</v>
      </c>
    </row>
    <row r="577" spans="1:3" hidden="1" x14ac:dyDescent="0.25">
      <c r="A577">
        <v>50</v>
      </c>
      <c r="B577" t="s">
        <v>25</v>
      </c>
      <c r="C577" t="s">
        <v>35</v>
      </c>
    </row>
    <row r="578" spans="1:3" hidden="1" x14ac:dyDescent="0.25">
      <c r="A578">
        <v>50</v>
      </c>
      <c r="B578" t="s">
        <v>25</v>
      </c>
      <c r="C578" t="s">
        <v>38</v>
      </c>
    </row>
    <row r="579" spans="1:3" hidden="1" x14ac:dyDescent="0.25">
      <c r="A579">
        <v>50</v>
      </c>
      <c r="B579" t="s">
        <v>25</v>
      </c>
      <c r="C579" t="s">
        <v>38</v>
      </c>
    </row>
    <row r="580" spans="1:3" hidden="1" x14ac:dyDescent="0.25">
      <c r="A580">
        <v>50</v>
      </c>
      <c r="B580" t="s">
        <v>25</v>
      </c>
      <c r="C580" t="s">
        <v>38</v>
      </c>
    </row>
    <row r="581" spans="1:3" hidden="1" x14ac:dyDescent="0.25">
      <c r="A581">
        <v>50</v>
      </c>
      <c r="B581" t="s">
        <v>26</v>
      </c>
      <c r="C581" t="s">
        <v>46</v>
      </c>
    </row>
    <row r="582" spans="1:3" hidden="1" x14ac:dyDescent="0.25">
      <c r="A582">
        <v>50</v>
      </c>
      <c r="B582" t="s">
        <v>26</v>
      </c>
      <c r="C582" t="s">
        <v>46</v>
      </c>
    </row>
    <row r="583" spans="1:3" hidden="1" x14ac:dyDescent="0.25">
      <c r="A583">
        <v>50</v>
      </c>
      <c r="B583" t="s">
        <v>26</v>
      </c>
      <c r="C583" t="s">
        <v>35</v>
      </c>
    </row>
    <row r="584" spans="1:3" hidden="1" x14ac:dyDescent="0.25">
      <c r="A584">
        <v>50</v>
      </c>
      <c r="B584" t="s">
        <v>26</v>
      </c>
      <c r="C584" t="s">
        <v>35</v>
      </c>
    </row>
    <row r="585" spans="1:3" hidden="1" x14ac:dyDescent="0.25">
      <c r="A585">
        <v>50</v>
      </c>
      <c r="B585" t="s">
        <v>26</v>
      </c>
      <c r="C585" t="s">
        <v>35</v>
      </c>
    </row>
    <row r="586" spans="1:3" hidden="1" x14ac:dyDescent="0.25">
      <c r="A586">
        <v>50</v>
      </c>
      <c r="B586" t="s">
        <v>26</v>
      </c>
      <c r="C586" t="s">
        <v>35</v>
      </c>
    </row>
    <row r="587" spans="1:3" hidden="1" x14ac:dyDescent="0.25">
      <c r="A587">
        <v>50</v>
      </c>
      <c r="B587" t="s">
        <v>26</v>
      </c>
      <c r="C587" t="s">
        <v>36</v>
      </c>
    </row>
    <row r="588" spans="1:3" hidden="1" x14ac:dyDescent="0.25">
      <c r="A588">
        <v>50</v>
      </c>
      <c r="B588" t="s">
        <v>26</v>
      </c>
      <c r="C588" t="s">
        <v>49</v>
      </c>
    </row>
    <row r="589" spans="1:3" hidden="1" x14ac:dyDescent="0.25">
      <c r="A589">
        <v>50</v>
      </c>
      <c r="B589" t="s">
        <v>26</v>
      </c>
      <c r="C589" t="s">
        <v>38</v>
      </c>
    </row>
    <row r="590" spans="1:3" hidden="1" x14ac:dyDescent="0.25">
      <c r="A590">
        <v>50</v>
      </c>
      <c r="B590" t="s">
        <v>26</v>
      </c>
      <c r="C590" t="s">
        <v>39</v>
      </c>
    </row>
    <row r="591" spans="1:3" hidden="1" x14ac:dyDescent="0.25">
      <c r="A591">
        <v>50</v>
      </c>
      <c r="B591" t="s">
        <v>26</v>
      </c>
      <c r="C591" t="s">
        <v>39</v>
      </c>
    </row>
    <row r="592" spans="1:3" hidden="1" x14ac:dyDescent="0.25">
      <c r="A592">
        <v>50</v>
      </c>
      <c r="B592" t="s">
        <v>26</v>
      </c>
      <c r="C592" t="s">
        <v>40</v>
      </c>
    </row>
    <row r="593" spans="1:3" hidden="1" x14ac:dyDescent="0.25">
      <c r="A593">
        <v>50</v>
      </c>
      <c r="B593" t="s">
        <v>26</v>
      </c>
      <c r="C593" t="s">
        <v>41</v>
      </c>
    </row>
    <row r="594" spans="1:3" hidden="1" x14ac:dyDescent="0.25">
      <c r="A594">
        <v>50</v>
      </c>
      <c r="B594" t="s">
        <v>27</v>
      </c>
      <c r="C594" t="s">
        <v>35</v>
      </c>
    </row>
    <row r="595" spans="1:3" hidden="1" x14ac:dyDescent="0.25">
      <c r="A595">
        <v>50</v>
      </c>
      <c r="B595" t="s">
        <v>27</v>
      </c>
      <c r="C595" t="s">
        <v>39</v>
      </c>
    </row>
    <row r="596" spans="1:3" hidden="1" x14ac:dyDescent="0.25">
      <c r="A596">
        <v>50</v>
      </c>
      <c r="B596" t="s">
        <v>28</v>
      </c>
      <c r="C596" t="s">
        <v>38</v>
      </c>
    </row>
    <row r="597" spans="1:3" hidden="1" x14ac:dyDescent="0.25">
      <c r="A597">
        <v>50</v>
      </c>
      <c r="B597" t="s">
        <v>28</v>
      </c>
      <c r="C597" t="s">
        <v>39</v>
      </c>
    </row>
    <row r="598" spans="1:3" hidden="1" x14ac:dyDescent="0.25">
      <c r="A598">
        <v>50</v>
      </c>
      <c r="B598" t="s">
        <v>28</v>
      </c>
      <c r="C598" t="s">
        <v>39</v>
      </c>
    </row>
    <row r="599" spans="1:3" hidden="1" x14ac:dyDescent="0.25">
      <c r="A599">
        <v>50</v>
      </c>
      <c r="B599" t="s">
        <v>28</v>
      </c>
      <c r="C599" t="s">
        <v>40</v>
      </c>
    </row>
    <row r="600" spans="1:3" hidden="1" x14ac:dyDescent="0.25">
      <c r="A600">
        <v>50</v>
      </c>
      <c r="B600" t="s">
        <v>28</v>
      </c>
      <c r="C600" t="s">
        <v>41</v>
      </c>
    </row>
    <row r="601" spans="1:3" hidden="1" x14ac:dyDescent="0.25">
      <c r="A601">
        <v>50</v>
      </c>
      <c r="B601" t="s">
        <v>29</v>
      </c>
      <c r="C601" t="s">
        <v>46</v>
      </c>
    </row>
    <row r="602" spans="1:3" hidden="1" x14ac:dyDescent="0.25">
      <c r="A602">
        <v>50</v>
      </c>
      <c r="B602" t="s">
        <v>29</v>
      </c>
      <c r="C602" t="s">
        <v>38</v>
      </c>
    </row>
    <row r="603" spans="1:3" hidden="1" x14ac:dyDescent="0.25">
      <c r="A603">
        <v>50</v>
      </c>
      <c r="B603" t="s">
        <v>29</v>
      </c>
      <c r="C603" t="s">
        <v>40</v>
      </c>
    </row>
    <row r="604" spans="1:3" hidden="1" x14ac:dyDescent="0.25">
      <c r="A604">
        <v>50</v>
      </c>
      <c r="B604" t="s">
        <v>30</v>
      </c>
      <c r="C604" t="s">
        <v>35</v>
      </c>
    </row>
    <row r="605" spans="1:3" hidden="1" x14ac:dyDescent="0.25">
      <c r="A605">
        <v>50</v>
      </c>
      <c r="B605" t="s">
        <v>30</v>
      </c>
      <c r="C605" t="s">
        <v>35</v>
      </c>
    </row>
    <row r="606" spans="1:3" hidden="1" x14ac:dyDescent="0.25">
      <c r="A606">
        <v>50</v>
      </c>
      <c r="B606" t="s">
        <v>30</v>
      </c>
      <c r="C606" t="s">
        <v>35</v>
      </c>
    </row>
    <row r="607" spans="1:3" hidden="1" x14ac:dyDescent="0.25">
      <c r="A607">
        <v>50</v>
      </c>
      <c r="B607" t="s">
        <v>30</v>
      </c>
      <c r="C607" t="s">
        <v>35</v>
      </c>
    </row>
    <row r="608" spans="1:3" hidden="1" x14ac:dyDescent="0.25">
      <c r="A608">
        <v>50</v>
      </c>
      <c r="B608" t="s">
        <v>30</v>
      </c>
      <c r="C608" t="s">
        <v>35</v>
      </c>
    </row>
    <row r="609" spans="1:3" hidden="1" x14ac:dyDescent="0.25">
      <c r="A609">
        <v>50</v>
      </c>
      <c r="B609" t="s">
        <v>30</v>
      </c>
      <c r="C609" t="s">
        <v>36</v>
      </c>
    </row>
    <row r="610" spans="1:3" hidden="1" x14ac:dyDescent="0.25">
      <c r="A610">
        <v>50</v>
      </c>
      <c r="B610" t="s">
        <v>30</v>
      </c>
      <c r="C610" t="s">
        <v>37</v>
      </c>
    </row>
    <row r="611" spans="1:3" hidden="1" x14ac:dyDescent="0.25">
      <c r="A611">
        <v>50</v>
      </c>
      <c r="B611" t="s">
        <v>30</v>
      </c>
      <c r="C611" t="s">
        <v>38</v>
      </c>
    </row>
    <row r="612" spans="1:3" hidden="1" x14ac:dyDescent="0.25">
      <c r="A612">
        <v>50</v>
      </c>
      <c r="B612" t="s">
        <v>30</v>
      </c>
      <c r="C612" t="s">
        <v>39</v>
      </c>
    </row>
    <row r="613" spans="1:3" hidden="1" x14ac:dyDescent="0.25">
      <c r="A613">
        <v>50</v>
      </c>
      <c r="B613" t="s">
        <v>30</v>
      </c>
      <c r="C613" t="s">
        <v>39</v>
      </c>
    </row>
    <row r="614" spans="1:3" x14ac:dyDescent="0.25">
      <c r="A614">
        <v>50</v>
      </c>
      <c r="B614" t="s">
        <v>30</v>
      </c>
      <c r="C614" t="s">
        <v>50</v>
      </c>
    </row>
    <row r="615" spans="1:3" hidden="1" x14ac:dyDescent="0.25">
      <c r="A615">
        <v>50</v>
      </c>
      <c r="B615" t="s">
        <v>30</v>
      </c>
      <c r="C615" t="s">
        <v>40</v>
      </c>
    </row>
    <row r="616" spans="1:3" hidden="1" x14ac:dyDescent="0.25">
      <c r="A616">
        <v>50</v>
      </c>
      <c r="B616" t="s">
        <v>32</v>
      </c>
      <c r="C616" t="s">
        <v>45</v>
      </c>
    </row>
    <row r="617" spans="1:3" hidden="1" x14ac:dyDescent="0.25">
      <c r="A617">
        <v>50</v>
      </c>
      <c r="B617" t="s">
        <v>32</v>
      </c>
      <c r="C617" t="s">
        <v>38</v>
      </c>
    </row>
    <row r="618" spans="1:3" hidden="1" x14ac:dyDescent="0.25">
      <c r="A618">
        <v>50</v>
      </c>
      <c r="B618" t="s">
        <v>32</v>
      </c>
      <c r="C618" t="s">
        <v>38</v>
      </c>
    </row>
    <row r="619" spans="1:3" hidden="1" x14ac:dyDescent="0.25">
      <c r="A619">
        <v>50</v>
      </c>
      <c r="B619" t="s">
        <v>32</v>
      </c>
      <c r="C619" t="s">
        <v>40</v>
      </c>
    </row>
    <row r="620" spans="1:3" hidden="1" x14ac:dyDescent="0.25">
      <c r="A620">
        <v>50.03</v>
      </c>
      <c r="B620" t="s">
        <v>22</v>
      </c>
      <c r="C620" t="s">
        <v>39</v>
      </c>
    </row>
    <row r="621" spans="1:3" hidden="1" x14ac:dyDescent="0.25">
      <c r="A621">
        <v>50.05</v>
      </c>
      <c r="B621" t="s">
        <v>30</v>
      </c>
      <c r="C621" t="s">
        <v>39</v>
      </c>
    </row>
    <row r="622" spans="1:3" hidden="1" x14ac:dyDescent="0.25">
      <c r="A622">
        <v>50.49</v>
      </c>
      <c r="B622" t="s">
        <v>29</v>
      </c>
      <c r="C622" t="s">
        <v>35</v>
      </c>
    </row>
    <row r="623" spans="1:3" hidden="1" x14ac:dyDescent="0.25">
      <c r="A623">
        <v>50.64</v>
      </c>
      <c r="B623" t="s">
        <v>23</v>
      </c>
      <c r="C623" t="s">
        <v>36</v>
      </c>
    </row>
    <row r="624" spans="1:3" hidden="1" x14ac:dyDescent="0.25">
      <c r="A624">
        <v>50.64</v>
      </c>
      <c r="B624" t="s">
        <v>32</v>
      </c>
      <c r="C624" t="s">
        <v>40</v>
      </c>
    </row>
    <row r="625" spans="1:3" hidden="1" x14ac:dyDescent="0.25">
      <c r="A625">
        <v>50.74</v>
      </c>
      <c r="B625" t="s">
        <v>29</v>
      </c>
      <c r="C625" t="s">
        <v>39</v>
      </c>
    </row>
    <row r="626" spans="1:3" hidden="1" x14ac:dyDescent="0.25">
      <c r="A626">
        <v>50.89</v>
      </c>
      <c r="B626" t="s">
        <v>24</v>
      </c>
      <c r="C626" t="s">
        <v>38</v>
      </c>
    </row>
    <row r="627" spans="1:3" hidden="1" x14ac:dyDescent="0.25">
      <c r="A627">
        <v>50.99</v>
      </c>
      <c r="B627" t="s">
        <v>29</v>
      </c>
      <c r="C627" t="s">
        <v>36</v>
      </c>
    </row>
    <row r="628" spans="1:3" hidden="1" x14ac:dyDescent="0.25">
      <c r="A628">
        <v>51.02</v>
      </c>
      <c r="B628" t="s">
        <v>32</v>
      </c>
      <c r="C628" t="s">
        <v>36</v>
      </c>
    </row>
    <row r="629" spans="1:3" hidden="1" x14ac:dyDescent="0.25">
      <c r="A629">
        <v>51.04</v>
      </c>
      <c r="B629" t="s">
        <v>32</v>
      </c>
      <c r="C629" t="s">
        <v>44</v>
      </c>
    </row>
    <row r="630" spans="1:3" hidden="1" x14ac:dyDescent="0.25">
      <c r="A630">
        <v>51.17</v>
      </c>
      <c r="B630" t="s">
        <v>31</v>
      </c>
      <c r="C630" t="s">
        <v>39</v>
      </c>
    </row>
    <row r="631" spans="1:3" hidden="1" x14ac:dyDescent="0.25">
      <c r="A631">
        <v>51.64</v>
      </c>
      <c r="B631" t="s">
        <v>23</v>
      </c>
      <c r="C631" t="s">
        <v>38</v>
      </c>
    </row>
    <row r="632" spans="1:3" hidden="1" x14ac:dyDescent="0.25">
      <c r="A632">
        <v>51.79</v>
      </c>
      <c r="B632" t="s">
        <v>22</v>
      </c>
      <c r="C632" t="s">
        <v>38</v>
      </c>
    </row>
    <row r="633" spans="1:3" hidden="1" x14ac:dyDescent="0.25">
      <c r="A633">
        <v>51.99</v>
      </c>
      <c r="B633" t="s">
        <v>27</v>
      </c>
      <c r="C633" t="s">
        <v>39</v>
      </c>
    </row>
    <row r="634" spans="1:3" hidden="1" x14ac:dyDescent="0.25">
      <c r="A634">
        <v>52.09</v>
      </c>
      <c r="B634" t="s">
        <v>23</v>
      </c>
      <c r="C634" t="s">
        <v>35</v>
      </c>
    </row>
    <row r="635" spans="1:3" hidden="1" x14ac:dyDescent="0.25">
      <c r="A635">
        <v>52.09</v>
      </c>
      <c r="B635" t="s">
        <v>29</v>
      </c>
      <c r="C635" t="s">
        <v>35</v>
      </c>
    </row>
    <row r="636" spans="1:3" hidden="1" x14ac:dyDescent="0.25">
      <c r="A636">
        <v>52.29</v>
      </c>
      <c r="B636" t="s">
        <v>30</v>
      </c>
      <c r="C636" t="s">
        <v>37</v>
      </c>
    </row>
    <row r="637" spans="1:3" hidden="1" x14ac:dyDescent="0.25">
      <c r="A637">
        <v>52.54</v>
      </c>
      <c r="B637" t="s">
        <v>24</v>
      </c>
      <c r="C637" t="s">
        <v>41</v>
      </c>
    </row>
    <row r="638" spans="1:3" hidden="1" x14ac:dyDescent="0.25">
      <c r="A638">
        <v>52.54</v>
      </c>
      <c r="B638" t="s">
        <v>30</v>
      </c>
      <c r="C638" t="s">
        <v>40</v>
      </c>
    </row>
    <row r="639" spans="1:3" hidden="1" x14ac:dyDescent="0.25">
      <c r="A639">
        <v>52.56</v>
      </c>
      <c r="B639" t="s">
        <v>25</v>
      </c>
      <c r="C639" t="s">
        <v>39</v>
      </c>
    </row>
    <row r="640" spans="1:3" hidden="1" x14ac:dyDescent="0.25">
      <c r="A640">
        <v>52.88</v>
      </c>
      <c r="B640" t="s">
        <v>25</v>
      </c>
      <c r="C640" t="s">
        <v>38</v>
      </c>
    </row>
    <row r="641" spans="1:3" hidden="1" x14ac:dyDescent="0.25">
      <c r="A641">
        <v>52.95</v>
      </c>
      <c r="B641" t="s">
        <v>26</v>
      </c>
      <c r="C641" t="s">
        <v>35</v>
      </c>
    </row>
    <row r="642" spans="1:3" hidden="1" x14ac:dyDescent="0.25">
      <c r="A642">
        <v>53</v>
      </c>
      <c r="B642" t="s">
        <v>24</v>
      </c>
      <c r="C642" t="s">
        <v>52</v>
      </c>
    </row>
    <row r="643" spans="1:3" hidden="1" x14ac:dyDescent="0.25">
      <c r="A643">
        <v>53.02</v>
      </c>
      <c r="B643" t="s">
        <v>31</v>
      </c>
      <c r="C643" t="s">
        <v>35</v>
      </c>
    </row>
    <row r="644" spans="1:3" hidden="1" x14ac:dyDescent="0.25">
      <c r="A644">
        <v>53.02</v>
      </c>
      <c r="B644" t="s">
        <v>31</v>
      </c>
      <c r="C644" t="s">
        <v>39</v>
      </c>
    </row>
    <row r="645" spans="1:3" hidden="1" x14ac:dyDescent="0.25">
      <c r="A645">
        <v>53.09</v>
      </c>
      <c r="B645" t="s">
        <v>24</v>
      </c>
      <c r="C645" t="s">
        <v>35</v>
      </c>
    </row>
    <row r="646" spans="1:3" hidden="1" x14ac:dyDescent="0.25">
      <c r="A646">
        <v>53.09</v>
      </c>
      <c r="B646" t="s">
        <v>25</v>
      </c>
      <c r="C646" t="s">
        <v>39</v>
      </c>
    </row>
    <row r="647" spans="1:3" hidden="1" x14ac:dyDescent="0.25">
      <c r="A647">
        <v>53.19</v>
      </c>
      <c r="B647" t="s">
        <v>24</v>
      </c>
      <c r="C647" t="s">
        <v>35</v>
      </c>
    </row>
    <row r="648" spans="1:3" hidden="1" x14ac:dyDescent="0.25">
      <c r="A648">
        <v>53.25</v>
      </c>
      <c r="B648" t="s">
        <v>30</v>
      </c>
      <c r="C648" t="s">
        <v>35</v>
      </c>
    </row>
    <row r="649" spans="1:3" hidden="1" x14ac:dyDescent="0.25">
      <c r="A649">
        <v>53.41</v>
      </c>
      <c r="B649" t="s">
        <v>23</v>
      </c>
      <c r="C649" t="s">
        <v>41</v>
      </c>
    </row>
    <row r="650" spans="1:3" hidden="1" x14ac:dyDescent="0.25">
      <c r="A650">
        <v>53.44</v>
      </c>
      <c r="B650" t="s">
        <v>26</v>
      </c>
      <c r="C650" t="s">
        <v>38</v>
      </c>
    </row>
    <row r="651" spans="1:3" hidden="1" x14ac:dyDescent="0.25">
      <c r="A651">
        <v>53.54</v>
      </c>
      <c r="B651" t="s">
        <v>25</v>
      </c>
      <c r="C651" t="s">
        <v>35</v>
      </c>
    </row>
    <row r="652" spans="1:3" hidden="1" x14ac:dyDescent="0.25">
      <c r="A652">
        <v>53.93</v>
      </c>
      <c r="B652" t="s">
        <v>32</v>
      </c>
      <c r="C652" t="s">
        <v>39</v>
      </c>
    </row>
    <row r="653" spans="1:3" hidden="1" x14ac:dyDescent="0.25">
      <c r="A653">
        <v>53.99</v>
      </c>
      <c r="B653" t="s">
        <v>28</v>
      </c>
      <c r="C653" t="s">
        <v>43</v>
      </c>
    </row>
    <row r="654" spans="1:3" hidden="1" x14ac:dyDescent="0.25">
      <c r="A654">
        <v>54.09</v>
      </c>
      <c r="B654" t="s">
        <v>22</v>
      </c>
      <c r="C654" t="s">
        <v>35</v>
      </c>
    </row>
    <row r="655" spans="1:3" hidden="1" x14ac:dyDescent="0.25">
      <c r="A655">
        <v>54.14</v>
      </c>
      <c r="B655" t="s">
        <v>29</v>
      </c>
      <c r="C655" t="s">
        <v>35</v>
      </c>
    </row>
    <row r="656" spans="1:3" hidden="1" x14ac:dyDescent="0.25">
      <c r="A656">
        <v>54.34</v>
      </c>
      <c r="B656" t="s">
        <v>26</v>
      </c>
      <c r="C656" t="s">
        <v>38</v>
      </c>
    </row>
    <row r="657" spans="1:3" hidden="1" x14ac:dyDescent="0.25">
      <c r="A657">
        <v>54.38</v>
      </c>
      <c r="B657" t="s">
        <v>23</v>
      </c>
      <c r="C657" t="s">
        <v>35</v>
      </c>
    </row>
    <row r="658" spans="1:3" hidden="1" x14ac:dyDescent="0.25">
      <c r="A658">
        <v>54.49</v>
      </c>
      <c r="B658" t="s">
        <v>32</v>
      </c>
      <c r="C658" t="s">
        <v>35</v>
      </c>
    </row>
    <row r="659" spans="1:3" hidden="1" x14ac:dyDescent="0.25">
      <c r="A659">
        <v>54.5</v>
      </c>
      <c r="B659" t="s">
        <v>27</v>
      </c>
      <c r="C659" t="s">
        <v>35</v>
      </c>
    </row>
    <row r="660" spans="1:3" hidden="1" x14ac:dyDescent="0.25">
      <c r="A660">
        <v>54.5</v>
      </c>
      <c r="B660" t="s">
        <v>32</v>
      </c>
      <c r="C660" t="s">
        <v>35</v>
      </c>
    </row>
    <row r="661" spans="1:3" hidden="1" x14ac:dyDescent="0.25">
      <c r="A661">
        <v>54.74</v>
      </c>
      <c r="B661" t="s">
        <v>23</v>
      </c>
      <c r="C661" t="s">
        <v>35</v>
      </c>
    </row>
    <row r="662" spans="1:3" hidden="1" x14ac:dyDescent="0.25">
      <c r="A662">
        <v>54.84</v>
      </c>
      <c r="B662" t="s">
        <v>32</v>
      </c>
      <c r="C662" t="s">
        <v>38</v>
      </c>
    </row>
    <row r="663" spans="1:3" hidden="1" x14ac:dyDescent="0.25">
      <c r="A663">
        <v>55</v>
      </c>
      <c r="B663" t="s">
        <v>22</v>
      </c>
      <c r="C663" t="s">
        <v>41</v>
      </c>
    </row>
    <row r="664" spans="1:3" hidden="1" x14ac:dyDescent="0.25">
      <c r="A664">
        <v>55</v>
      </c>
      <c r="B664" t="s">
        <v>27</v>
      </c>
      <c r="C664" t="s">
        <v>35</v>
      </c>
    </row>
    <row r="665" spans="1:3" hidden="1" x14ac:dyDescent="0.25">
      <c r="A665">
        <v>55.53</v>
      </c>
      <c r="B665" t="s">
        <v>30</v>
      </c>
      <c r="C665" t="s">
        <v>38</v>
      </c>
    </row>
    <row r="666" spans="1:3" hidden="1" x14ac:dyDescent="0.25">
      <c r="A666">
        <v>55.58</v>
      </c>
      <c r="B666" t="s">
        <v>30</v>
      </c>
      <c r="C666" t="s">
        <v>41</v>
      </c>
    </row>
    <row r="667" spans="1:3" hidden="1" x14ac:dyDescent="0.25">
      <c r="A667">
        <v>55.73</v>
      </c>
      <c r="B667" t="s">
        <v>26</v>
      </c>
      <c r="C667" t="s">
        <v>35</v>
      </c>
    </row>
    <row r="668" spans="1:3" hidden="1" x14ac:dyDescent="0.25">
      <c r="A668">
        <v>55.92</v>
      </c>
      <c r="B668" t="s">
        <v>23</v>
      </c>
      <c r="C668" t="s">
        <v>38</v>
      </c>
    </row>
    <row r="669" spans="1:3" hidden="1" x14ac:dyDescent="0.25">
      <c r="A669">
        <v>56</v>
      </c>
      <c r="B669" t="s">
        <v>29</v>
      </c>
      <c r="C669" t="s">
        <v>38</v>
      </c>
    </row>
    <row r="670" spans="1:3" hidden="1" x14ac:dyDescent="0.25">
      <c r="A670">
        <v>56.08</v>
      </c>
      <c r="B670" t="s">
        <v>22</v>
      </c>
      <c r="C670" t="s">
        <v>39</v>
      </c>
    </row>
    <row r="671" spans="1:3" hidden="1" x14ac:dyDescent="0.25">
      <c r="A671">
        <v>56.08</v>
      </c>
      <c r="B671" t="s">
        <v>24</v>
      </c>
      <c r="C671" t="s">
        <v>35</v>
      </c>
    </row>
    <row r="672" spans="1:3" hidden="1" x14ac:dyDescent="0.25">
      <c r="A672">
        <v>56.08</v>
      </c>
      <c r="B672" t="s">
        <v>30</v>
      </c>
      <c r="C672" t="s">
        <v>35</v>
      </c>
    </row>
    <row r="673" spans="1:3" hidden="1" x14ac:dyDescent="0.25">
      <c r="A673">
        <v>56.63</v>
      </c>
      <c r="B673" t="s">
        <v>31</v>
      </c>
      <c r="C673" t="s">
        <v>41</v>
      </c>
    </row>
    <row r="674" spans="1:3" hidden="1" x14ac:dyDescent="0.25">
      <c r="A674">
        <v>56.68</v>
      </c>
      <c r="B674" t="s">
        <v>28</v>
      </c>
      <c r="C674" t="s">
        <v>35</v>
      </c>
    </row>
    <row r="675" spans="1:3" hidden="1" x14ac:dyDescent="0.25">
      <c r="A675">
        <v>56.89</v>
      </c>
      <c r="B675" t="s">
        <v>23</v>
      </c>
      <c r="C675" t="s">
        <v>44</v>
      </c>
    </row>
    <row r="676" spans="1:3" hidden="1" x14ac:dyDescent="0.25">
      <c r="A676">
        <v>56.92</v>
      </c>
      <c r="B676" t="s">
        <v>26</v>
      </c>
      <c r="C676" t="s">
        <v>37</v>
      </c>
    </row>
    <row r="677" spans="1:3" hidden="1" x14ac:dyDescent="0.25">
      <c r="A677">
        <v>57.03</v>
      </c>
      <c r="B677" t="s">
        <v>23</v>
      </c>
      <c r="C677" t="s">
        <v>38</v>
      </c>
    </row>
    <row r="678" spans="1:3" hidden="1" x14ac:dyDescent="0.25">
      <c r="A678">
        <v>57.03</v>
      </c>
      <c r="B678" t="s">
        <v>26</v>
      </c>
      <c r="C678" t="s">
        <v>37</v>
      </c>
    </row>
    <row r="679" spans="1:3" hidden="1" x14ac:dyDescent="0.25">
      <c r="A679">
        <v>57.03</v>
      </c>
      <c r="B679" t="s">
        <v>32</v>
      </c>
      <c r="C679" t="s">
        <v>36</v>
      </c>
    </row>
    <row r="680" spans="1:3" hidden="1" x14ac:dyDescent="0.25">
      <c r="A680">
        <v>57.28</v>
      </c>
      <c r="B680" t="s">
        <v>23</v>
      </c>
      <c r="C680" t="s">
        <v>35</v>
      </c>
    </row>
    <row r="681" spans="1:3" hidden="1" x14ac:dyDescent="0.25">
      <c r="A681">
        <v>57.34</v>
      </c>
      <c r="B681" t="s">
        <v>32</v>
      </c>
      <c r="C681" t="s">
        <v>42</v>
      </c>
    </row>
    <row r="682" spans="1:3" hidden="1" x14ac:dyDescent="0.25">
      <c r="A682">
        <v>57.38</v>
      </c>
      <c r="B682" t="s">
        <v>23</v>
      </c>
      <c r="C682" t="s">
        <v>40</v>
      </c>
    </row>
    <row r="683" spans="1:3" hidden="1" x14ac:dyDescent="0.25">
      <c r="A683">
        <v>57.43</v>
      </c>
      <c r="B683" t="s">
        <v>23</v>
      </c>
      <c r="C683" t="s">
        <v>35</v>
      </c>
    </row>
    <row r="684" spans="1:3" hidden="1" x14ac:dyDescent="0.25">
      <c r="A684">
        <v>57.43</v>
      </c>
      <c r="B684" t="s">
        <v>26</v>
      </c>
      <c r="C684" t="s">
        <v>38</v>
      </c>
    </row>
    <row r="685" spans="1:3" hidden="1" x14ac:dyDescent="0.25">
      <c r="A685">
        <v>57.43</v>
      </c>
      <c r="B685" t="s">
        <v>30</v>
      </c>
      <c r="C685" t="s">
        <v>38</v>
      </c>
    </row>
    <row r="686" spans="1:3" hidden="1" x14ac:dyDescent="0.25">
      <c r="A686">
        <v>57.73</v>
      </c>
      <c r="B686" t="s">
        <v>23</v>
      </c>
      <c r="C686" t="s">
        <v>39</v>
      </c>
    </row>
    <row r="687" spans="1:3" hidden="1" x14ac:dyDescent="0.25">
      <c r="A687">
        <v>57.88</v>
      </c>
      <c r="B687" t="s">
        <v>27</v>
      </c>
      <c r="C687" t="s">
        <v>35</v>
      </c>
    </row>
    <row r="688" spans="1:3" hidden="1" x14ac:dyDescent="0.25">
      <c r="A688">
        <v>57.89</v>
      </c>
      <c r="B688" t="s">
        <v>24</v>
      </c>
      <c r="C688" t="s">
        <v>35</v>
      </c>
    </row>
    <row r="689" spans="1:3" hidden="1" x14ac:dyDescent="0.25">
      <c r="A689">
        <v>57.98</v>
      </c>
      <c r="B689" t="s">
        <v>22</v>
      </c>
      <c r="C689" t="s">
        <v>35</v>
      </c>
    </row>
    <row r="690" spans="1:3" hidden="1" x14ac:dyDescent="0.25">
      <c r="A690">
        <v>58.63</v>
      </c>
      <c r="B690" t="s">
        <v>25</v>
      </c>
      <c r="C690" t="s">
        <v>39</v>
      </c>
    </row>
    <row r="691" spans="1:3" hidden="1" x14ac:dyDescent="0.25">
      <c r="A691">
        <v>59.03</v>
      </c>
      <c r="B691" t="s">
        <v>25</v>
      </c>
      <c r="C691" t="s">
        <v>41</v>
      </c>
    </row>
    <row r="692" spans="1:3" hidden="1" x14ac:dyDescent="0.25">
      <c r="A692">
        <v>59.11</v>
      </c>
      <c r="B692" t="s">
        <v>24</v>
      </c>
      <c r="C692" t="s">
        <v>41</v>
      </c>
    </row>
    <row r="693" spans="1:3" hidden="1" x14ac:dyDescent="0.25">
      <c r="A693">
        <v>59.43</v>
      </c>
      <c r="B693" t="s">
        <v>23</v>
      </c>
      <c r="C693" t="s">
        <v>35</v>
      </c>
    </row>
    <row r="694" spans="1:3" hidden="1" x14ac:dyDescent="0.25">
      <c r="A694">
        <v>59.97</v>
      </c>
      <c r="B694" t="s">
        <v>23</v>
      </c>
      <c r="C694" t="s">
        <v>35</v>
      </c>
    </row>
    <row r="695" spans="1:3" hidden="1" x14ac:dyDescent="0.25">
      <c r="A695">
        <v>60</v>
      </c>
      <c r="B695" t="s">
        <v>22</v>
      </c>
      <c r="C695" t="s">
        <v>35</v>
      </c>
    </row>
    <row r="696" spans="1:3" hidden="1" x14ac:dyDescent="0.25">
      <c r="A696">
        <v>60</v>
      </c>
      <c r="B696" t="s">
        <v>24</v>
      </c>
      <c r="C696" t="s">
        <v>35</v>
      </c>
    </row>
    <row r="697" spans="1:3" hidden="1" x14ac:dyDescent="0.25">
      <c r="A697">
        <v>60</v>
      </c>
      <c r="B697" t="s">
        <v>24</v>
      </c>
      <c r="C697" t="s">
        <v>35</v>
      </c>
    </row>
    <row r="698" spans="1:3" hidden="1" x14ac:dyDescent="0.25">
      <c r="A698">
        <v>60</v>
      </c>
      <c r="B698" t="s">
        <v>24</v>
      </c>
      <c r="C698" t="s">
        <v>39</v>
      </c>
    </row>
    <row r="699" spans="1:3" hidden="1" x14ac:dyDescent="0.25">
      <c r="A699">
        <v>60</v>
      </c>
      <c r="B699" t="s">
        <v>25</v>
      </c>
      <c r="C699" t="s">
        <v>44</v>
      </c>
    </row>
    <row r="700" spans="1:3" hidden="1" x14ac:dyDescent="0.25">
      <c r="A700">
        <v>60</v>
      </c>
      <c r="B700" t="s">
        <v>26</v>
      </c>
      <c r="C700" t="s">
        <v>35</v>
      </c>
    </row>
    <row r="701" spans="1:3" hidden="1" x14ac:dyDescent="0.25">
      <c r="A701">
        <v>60</v>
      </c>
      <c r="B701" t="s">
        <v>27</v>
      </c>
      <c r="C701" t="s">
        <v>39</v>
      </c>
    </row>
    <row r="702" spans="1:3" hidden="1" x14ac:dyDescent="0.25">
      <c r="A702">
        <v>60</v>
      </c>
      <c r="B702" t="s">
        <v>30</v>
      </c>
      <c r="C702" t="s">
        <v>39</v>
      </c>
    </row>
    <row r="703" spans="1:3" hidden="1" x14ac:dyDescent="0.25">
      <c r="A703">
        <v>60.12</v>
      </c>
      <c r="B703" t="s">
        <v>30</v>
      </c>
      <c r="C703" t="s">
        <v>35</v>
      </c>
    </row>
    <row r="704" spans="1:3" hidden="1" x14ac:dyDescent="0.25">
      <c r="A704">
        <v>60.14</v>
      </c>
      <c r="B704" t="s">
        <v>31</v>
      </c>
      <c r="C704" t="s">
        <v>38</v>
      </c>
    </row>
    <row r="705" spans="1:3" hidden="1" x14ac:dyDescent="0.25">
      <c r="A705">
        <v>60.27</v>
      </c>
      <c r="B705" t="s">
        <v>26</v>
      </c>
      <c r="C705" t="s">
        <v>35</v>
      </c>
    </row>
    <row r="706" spans="1:3" hidden="1" x14ac:dyDescent="0.25">
      <c r="A706">
        <v>60.5</v>
      </c>
      <c r="B706" t="s">
        <v>30</v>
      </c>
      <c r="C706" t="s">
        <v>41</v>
      </c>
    </row>
    <row r="707" spans="1:3" hidden="1" x14ac:dyDescent="0.25">
      <c r="A707">
        <v>61.37</v>
      </c>
      <c r="B707" t="s">
        <v>32</v>
      </c>
      <c r="C707" t="s">
        <v>38</v>
      </c>
    </row>
    <row r="708" spans="1:3" hidden="1" x14ac:dyDescent="0.25">
      <c r="A708">
        <v>61.38</v>
      </c>
      <c r="B708" t="s">
        <v>32</v>
      </c>
      <c r="C708" t="s">
        <v>35</v>
      </c>
    </row>
    <row r="709" spans="1:3" hidden="1" x14ac:dyDescent="0.25">
      <c r="A709">
        <v>61.4</v>
      </c>
      <c r="B709" t="s">
        <v>26</v>
      </c>
      <c r="C709" t="s">
        <v>49</v>
      </c>
    </row>
    <row r="710" spans="1:3" hidden="1" x14ac:dyDescent="0.25">
      <c r="A710">
        <v>61.52</v>
      </c>
      <c r="B710" t="s">
        <v>23</v>
      </c>
      <c r="C710" t="s">
        <v>35</v>
      </c>
    </row>
    <row r="711" spans="1:3" hidden="1" x14ac:dyDescent="0.25">
      <c r="A711">
        <v>61.87</v>
      </c>
      <c r="B711" t="s">
        <v>26</v>
      </c>
      <c r="C711" t="s">
        <v>39</v>
      </c>
    </row>
    <row r="712" spans="1:3" hidden="1" x14ac:dyDescent="0.25">
      <c r="A712">
        <v>61.92</v>
      </c>
      <c r="B712" t="s">
        <v>24</v>
      </c>
      <c r="C712" t="s">
        <v>35</v>
      </c>
    </row>
    <row r="713" spans="1:3" hidden="1" x14ac:dyDescent="0.25">
      <c r="A713">
        <v>62.07</v>
      </c>
      <c r="B713" t="s">
        <v>30</v>
      </c>
      <c r="C713" t="s">
        <v>35</v>
      </c>
    </row>
    <row r="714" spans="1:3" hidden="1" x14ac:dyDescent="0.25">
      <c r="A714">
        <v>62.32</v>
      </c>
      <c r="B714" t="s">
        <v>23</v>
      </c>
      <c r="C714" t="s">
        <v>35</v>
      </c>
    </row>
    <row r="715" spans="1:3" hidden="1" x14ac:dyDescent="0.25">
      <c r="A715">
        <v>62.47</v>
      </c>
      <c r="B715" t="s">
        <v>26</v>
      </c>
      <c r="C715" t="s">
        <v>38</v>
      </c>
    </row>
    <row r="716" spans="1:3" hidden="1" x14ac:dyDescent="0.25">
      <c r="A716">
        <v>62.87</v>
      </c>
      <c r="B716" t="s">
        <v>26</v>
      </c>
      <c r="C716" t="s">
        <v>35</v>
      </c>
    </row>
    <row r="717" spans="1:3" hidden="1" x14ac:dyDescent="0.25">
      <c r="A717">
        <v>63.07</v>
      </c>
      <c r="B717" t="s">
        <v>24</v>
      </c>
      <c r="C717" t="s">
        <v>38</v>
      </c>
    </row>
    <row r="718" spans="1:3" hidden="1" x14ac:dyDescent="0.25">
      <c r="A718">
        <v>63.17</v>
      </c>
      <c r="B718" t="s">
        <v>24</v>
      </c>
      <c r="C718" t="s">
        <v>35</v>
      </c>
    </row>
    <row r="719" spans="1:3" hidden="1" x14ac:dyDescent="0.25">
      <c r="A719">
        <v>63.52</v>
      </c>
      <c r="B719" t="s">
        <v>27</v>
      </c>
      <c r="C719" t="s">
        <v>38</v>
      </c>
    </row>
    <row r="720" spans="1:3" hidden="1" x14ac:dyDescent="0.25">
      <c r="A720">
        <v>63.57</v>
      </c>
      <c r="B720" t="s">
        <v>29</v>
      </c>
      <c r="C720" t="s">
        <v>43</v>
      </c>
    </row>
    <row r="721" spans="1:3" hidden="1" x14ac:dyDescent="0.25">
      <c r="A721">
        <v>63.57</v>
      </c>
      <c r="B721" t="s">
        <v>29</v>
      </c>
      <c r="C721" t="s">
        <v>39</v>
      </c>
    </row>
    <row r="722" spans="1:3" hidden="1" x14ac:dyDescent="0.25">
      <c r="A722">
        <v>63.76</v>
      </c>
      <c r="B722" t="s">
        <v>29</v>
      </c>
      <c r="C722" t="s">
        <v>37</v>
      </c>
    </row>
    <row r="723" spans="1:3" hidden="1" x14ac:dyDescent="0.25">
      <c r="A723">
        <v>63.87</v>
      </c>
      <c r="B723" t="s">
        <v>32</v>
      </c>
      <c r="C723" t="s">
        <v>41</v>
      </c>
    </row>
    <row r="724" spans="1:3" hidden="1" x14ac:dyDescent="0.25">
      <c r="A724">
        <v>64.069999999999993</v>
      </c>
      <c r="B724" t="s">
        <v>29</v>
      </c>
      <c r="C724" t="s">
        <v>36</v>
      </c>
    </row>
    <row r="725" spans="1:3" hidden="1" x14ac:dyDescent="0.25">
      <c r="A725">
        <v>64.47</v>
      </c>
      <c r="B725" t="s">
        <v>23</v>
      </c>
      <c r="C725" t="s">
        <v>39</v>
      </c>
    </row>
    <row r="726" spans="1:3" hidden="1" x14ac:dyDescent="0.25">
      <c r="A726">
        <v>64.5</v>
      </c>
      <c r="B726" t="s">
        <v>24</v>
      </c>
      <c r="C726" t="s">
        <v>38</v>
      </c>
    </row>
    <row r="727" spans="1:3" hidden="1" x14ac:dyDescent="0.25">
      <c r="A727">
        <v>64.5</v>
      </c>
      <c r="B727" t="s">
        <v>25</v>
      </c>
      <c r="C727" t="s">
        <v>39</v>
      </c>
    </row>
    <row r="728" spans="1:3" hidden="1" x14ac:dyDescent="0.25">
      <c r="A728">
        <v>64.5</v>
      </c>
      <c r="B728" t="s">
        <v>26</v>
      </c>
      <c r="C728" t="s">
        <v>35</v>
      </c>
    </row>
    <row r="729" spans="1:3" hidden="1" x14ac:dyDescent="0.25">
      <c r="A729">
        <v>64.5</v>
      </c>
      <c r="B729" t="s">
        <v>27</v>
      </c>
      <c r="C729" t="s">
        <v>39</v>
      </c>
    </row>
    <row r="730" spans="1:3" hidden="1" x14ac:dyDescent="0.25">
      <c r="A730">
        <v>64.5</v>
      </c>
      <c r="B730" t="s">
        <v>28</v>
      </c>
      <c r="C730" t="s">
        <v>38</v>
      </c>
    </row>
    <row r="731" spans="1:3" hidden="1" x14ac:dyDescent="0.25">
      <c r="A731">
        <v>64.5</v>
      </c>
      <c r="B731" t="s">
        <v>30</v>
      </c>
      <c r="C731" t="s">
        <v>48</v>
      </c>
    </row>
    <row r="732" spans="1:3" hidden="1" x14ac:dyDescent="0.25">
      <c r="A732">
        <v>64.62</v>
      </c>
      <c r="B732" t="s">
        <v>30</v>
      </c>
      <c r="C732" t="s">
        <v>40</v>
      </c>
    </row>
    <row r="733" spans="1:3" hidden="1" x14ac:dyDescent="0.25">
      <c r="A733">
        <v>64.67</v>
      </c>
      <c r="B733" t="s">
        <v>26</v>
      </c>
      <c r="C733" t="s">
        <v>44</v>
      </c>
    </row>
    <row r="734" spans="1:3" hidden="1" x14ac:dyDescent="0.25">
      <c r="A734">
        <v>64.67</v>
      </c>
      <c r="B734" t="s">
        <v>32</v>
      </c>
      <c r="C734" t="s">
        <v>35</v>
      </c>
    </row>
    <row r="735" spans="1:3" hidden="1" x14ac:dyDescent="0.25">
      <c r="A735">
        <v>64.959999999999994</v>
      </c>
      <c r="B735" t="s">
        <v>23</v>
      </c>
      <c r="C735" t="s">
        <v>38</v>
      </c>
    </row>
    <row r="736" spans="1:3" hidden="1" x14ac:dyDescent="0.25">
      <c r="A736">
        <v>65</v>
      </c>
      <c r="B736" t="s">
        <v>28</v>
      </c>
      <c r="C736" t="s">
        <v>35</v>
      </c>
    </row>
    <row r="737" spans="1:3" hidden="1" x14ac:dyDescent="0.25">
      <c r="A737">
        <v>65.56</v>
      </c>
      <c r="B737" t="s">
        <v>23</v>
      </c>
      <c r="C737" t="s">
        <v>35</v>
      </c>
    </row>
    <row r="738" spans="1:3" hidden="1" x14ac:dyDescent="0.25">
      <c r="A738">
        <v>65.61</v>
      </c>
      <c r="B738" t="s">
        <v>22</v>
      </c>
      <c r="C738" t="s">
        <v>39</v>
      </c>
    </row>
    <row r="739" spans="1:3" hidden="1" x14ac:dyDescent="0.25">
      <c r="A739">
        <v>65.959999999999994</v>
      </c>
      <c r="B739" t="s">
        <v>23</v>
      </c>
      <c r="C739" t="s">
        <v>35</v>
      </c>
    </row>
    <row r="740" spans="1:3" hidden="1" x14ac:dyDescent="0.25">
      <c r="A740">
        <v>66</v>
      </c>
      <c r="B740" t="s">
        <v>23</v>
      </c>
      <c r="C740" t="s">
        <v>44</v>
      </c>
    </row>
    <row r="741" spans="1:3" hidden="1" x14ac:dyDescent="0.25">
      <c r="A741">
        <v>66.11</v>
      </c>
      <c r="B741" t="s">
        <v>27</v>
      </c>
      <c r="C741" t="s">
        <v>39</v>
      </c>
    </row>
    <row r="742" spans="1:3" hidden="1" x14ac:dyDescent="0.25">
      <c r="A742">
        <v>66.16</v>
      </c>
      <c r="B742" t="s">
        <v>30</v>
      </c>
      <c r="C742" t="s">
        <v>39</v>
      </c>
    </row>
    <row r="743" spans="1:3" hidden="1" x14ac:dyDescent="0.25">
      <c r="A743">
        <v>66.61</v>
      </c>
      <c r="B743" t="s">
        <v>27</v>
      </c>
      <c r="C743" t="s">
        <v>35</v>
      </c>
    </row>
    <row r="744" spans="1:3" hidden="1" x14ac:dyDescent="0.25">
      <c r="A744">
        <v>66.959999999999994</v>
      </c>
      <c r="B744" t="s">
        <v>22</v>
      </c>
      <c r="C744" t="s">
        <v>35</v>
      </c>
    </row>
    <row r="745" spans="1:3" hidden="1" x14ac:dyDescent="0.25">
      <c r="A745">
        <v>67.61</v>
      </c>
      <c r="B745" t="s">
        <v>26</v>
      </c>
      <c r="C745" t="s">
        <v>35</v>
      </c>
    </row>
    <row r="746" spans="1:3" hidden="1" x14ac:dyDescent="0.25">
      <c r="A746">
        <v>67.62</v>
      </c>
      <c r="B746" t="s">
        <v>30</v>
      </c>
      <c r="C746" t="s">
        <v>39</v>
      </c>
    </row>
    <row r="747" spans="1:3" x14ac:dyDescent="0.25">
      <c r="A747">
        <v>67.92</v>
      </c>
      <c r="B747" t="s">
        <v>28</v>
      </c>
      <c r="C747" t="s">
        <v>54</v>
      </c>
    </row>
    <row r="748" spans="1:3" hidden="1" x14ac:dyDescent="0.25">
      <c r="A748">
        <v>69.36</v>
      </c>
      <c r="B748" t="s">
        <v>29</v>
      </c>
      <c r="C748" t="s">
        <v>38</v>
      </c>
    </row>
    <row r="749" spans="1:3" hidden="1" x14ac:dyDescent="0.25">
      <c r="A749">
        <v>69.819999999999993</v>
      </c>
      <c r="B749" t="s">
        <v>23</v>
      </c>
      <c r="C749" t="s">
        <v>35</v>
      </c>
    </row>
    <row r="750" spans="1:3" hidden="1" x14ac:dyDescent="0.25">
      <c r="A750">
        <v>70</v>
      </c>
      <c r="B750" t="s">
        <v>22</v>
      </c>
      <c r="C750" t="s">
        <v>35</v>
      </c>
    </row>
    <row r="751" spans="1:3" hidden="1" x14ac:dyDescent="0.25">
      <c r="A751">
        <v>70</v>
      </c>
      <c r="B751" t="s">
        <v>23</v>
      </c>
      <c r="C751" t="s">
        <v>39</v>
      </c>
    </row>
    <row r="752" spans="1:3" hidden="1" x14ac:dyDescent="0.25">
      <c r="A752">
        <v>70</v>
      </c>
      <c r="B752" t="s">
        <v>23</v>
      </c>
      <c r="C752" t="s">
        <v>41</v>
      </c>
    </row>
    <row r="753" spans="1:3" hidden="1" x14ac:dyDescent="0.25">
      <c r="A753">
        <v>70</v>
      </c>
      <c r="B753" t="s">
        <v>24</v>
      </c>
      <c r="C753" t="s">
        <v>44</v>
      </c>
    </row>
    <row r="754" spans="1:3" hidden="1" x14ac:dyDescent="0.25">
      <c r="A754">
        <v>70</v>
      </c>
      <c r="B754" t="s">
        <v>24</v>
      </c>
      <c r="C754" t="s">
        <v>41</v>
      </c>
    </row>
    <row r="755" spans="1:3" hidden="1" x14ac:dyDescent="0.25">
      <c r="A755">
        <v>70.89</v>
      </c>
      <c r="B755" t="s">
        <v>26</v>
      </c>
      <c r="C755" t="s">
        <v>49</v>
      </c>
    </row>
    <row r="756" spans="1:3" hidden="1" x14ac:dyDescent="0.25">
      <c r="A756">
        <v>71.2</v>
      </c>
      <c r="B756" t="s">
        <v>31</v>
      </c>
      <c r="C756" t="s">
        <v>39</v>
      </c>
    </row>
    <row r="757" spans="1:3" hidden="1" x14ac:dyDescent="0.25">
      <c r="A757">
        <v>71.98</v>
      </c>
      <c r="B757" t="s">
        <v>28</v>
      </c>
      <c r="C757" t="s">
        <v>40</v>
      </c>
    </row>
    <row r="758" spans="1:3" hidden="1" x14ac:dyDescent="0.25">
      <c r="A758">
        <v>72.05</v>
      </c>
      <c r="B758" t="s">
        <v>25</v>
      </c>
      <c r="C758" t="s">
        <v>43</v>
      </c>
    </row>
    <row r="759" spans="1:3" hidden="1" x14ac:dyDescent="0.25">
      <c r="A759">
        <v>72.25</v>
      </c>
      <c r="B759" t="s">
        <v>24</v>
      </c>
      <c r="C759" t="s">
        <v>36</v>
      </c>
    </row>
    <row r="760" spans="1:3" hidden="1" x14ac:dyDescent="0.25">
      <c r="A760">
        <v>73</v>
      </c>
      <c r="B760" t="s">
        <v>23</v>
      </c>
      <c r="C760" t="s">
        <v>35</v>
      </c>
    </row>
    <row r="761" spans="1:3" x14ac:dyDescent="0.25">
      <c r="A761">
        <v>75</v>
      </c>
      <c r="B761" t="s">
        <v>26</v>
      </c>
      <c r="C761" t="s">
        <v>50</v>
      </c>
    </row>
    <row r="762" spans="1:3" hidden="1" x14ac:dyDescent="0.25">
      <c r="A762">
        <v>75.540000000000006</v>
      </c>
      <c r="B762" t="s">
        <v>29</v>
      </c>
      <c r="C762" t="s">
        <v>36</v>
      </c>
    </row>
    <row r="763" spans="1:3" hidden="1" x14ac:dyDescent="0.25">
      <c r="A763">
        <v>76.760000000000005</v>
      </c>
      <c r="B763" t="s">
        <v>25</v>
      </c>
      <c r="C763" t="s">
        <v>35</v>
      </c>
    </row>
    <row r="764" spans="1:3" hidden="1" x14ac:dyDescent="0.25">
      <c r="A764">
        <v>77.900000000000006</v>
      </c>
      <c r="B764" t="s">
        <v>30</v>
      </c>
      <c r="C764" t="s">
        <v>39</v>
      </c>
    </row>
    <row r="765" spans="1:3" hidden="1" x14ac:dyDescent="0.25">
      <c r="A765">
        <v>79</v>
      </c>
      <c r="B765" t="s">
        <v>32</v>
      </c>
      <c r="C765" t="s">
        <v>41</v>
      </c>
    </row>
    <row r="766" spans="1:3" hidden="1" x14ac:dyDescent="0.25">
      <c r="A766">
        <v>79.040000000000006</v>
      </c>
      <c r="B766" t="s">
        <v>25</v>
      </c>
      <c r="C766" t="s">
        <v>38</v>
      </c>
    </row>
    <row r="767" spans="1:3" hidden="1" x14ac:dyDescent="0.25">
      <c r="A767">
        <v>80</v>
      </c>
      <c r="B767" t="s">
        <v>23</v>
      </c>
      <c r="C767" t="s">
        <v>40</v>
      </c>
    </row>
    <row r="768" spans="1:3" hidden="1" x14ac:dyDescent="0.25">
      <c r="A768">
        <v>80</v>
      </c>
      <c r="B768" t="s">
        <v>26</v>
      </c>
      <c r="C768" t="s">
        <v>44</v>
      </c>
    </row>
    <row r="769" spans="1:3" hidden="1" x14ac:dyDescent="0.25">
      <c r="A769">
        <v>80</v>
      </c>
      <c r="B769" t="s">
        <v>26</v>
      </c>
      <c r="C769" t="s">
        <v>45</v>
      </c>
    </row>
    <row r="770" spans="1:3" hidden="1" x14ac:dyDescent="0.25">
      <c r="A770">
        <v>80</v>
      </c>
      <c r="B770" t="s">
        <v>29</v>
      </c>
      <c r="C770" t="s">
        <v>35</v>
      </c>
    </row>
    <row r="771" spans="1:3" hidden="1" x14ac:dyDescent="0.25">
      <c r="A771">
        <v>81.48</v>
      </c>
      <c r="B771" t="s">
        <v>25</v>
      </c>
      <c r="C771" t="s">
        <v>39</v>
      </c>
    </row>
    <row r="772" spans="1:3" hidden="1" x14ac:dyDescent="0.25">
      <c r="A772">
        <v>84.58</v>
      </c>
      <c r="B772" t="s">
        <v>32</v>
      </c>
      <c r="C772" t="s">
        <v>41</v>
      </c>
    </row>
    <row r="773" spans="1:3" hidden="1" x14ac:dyDescent="0.25">
      <c r="A773">
        <v>85.01</v>
      </c>
      <c r="B773" t="s">
        <v>27</v>
      </c>
      <c r="C773" t="s">
        <v>39</v>
      </c>
    </row>
    <row r="774" spans="1:3" hidden="1" x14ac:dyDescent="0.25">
      <c r="A774">
        <v>86.17</v>
      </c>
      <c r="B774" t="s">
        <v>30</v>
      </c>
      <c r="C774" t="s">
        <v>42</v>
      </c>
    </row>
    <row r="775" spans="1:3" hidden="1" x14ac:dyDescent="0.25">
      <c r="A775">
        <v>87.01</v>
      </c>
      <c r="B775" t="s">
        <v>28</v>
      </c>
      <c r="C775" t="s">
        <v>38</v>
      </c>
    </row>
    <row r="776" spans="1:3" hidden="1" x14ac:dyDescent="0.25">
      <c r="A776">
        <v>89.33</v>
      </c>
      <c r="B776" t="s">
        <v>28</v>
      </c>
      <c r="C776" t="s">
        <v>39</v>
      </c>
    </row>
    <row r="777" spans="1:3" hidden="1" x14ac:dyDescent="0.25">
      <c r="A777">
        <v>90</v>
      </c>
      <c r="B777" t="s">
        <v>27</v>
      </c>
      <c r="C777" t="s">
        <v>35</v>
      </c>
    </row>
    <row r="778" spans="1:3" hidden="1" x14ac:dyDescent="0.25">
      <c r="A778">
        <v>92.14</v>
      </c>
      <c r="B778" t="s">
        <v>31</v>
      </c>
      <c r="C778" t="s">
        <v>42</v>
      </c>
    </row>
    <row r="779" spans="1:3" hidden="1" x14ac:dyDescent="0.25">
      <c r="A779">
        <v>95.37</v>
      </c>
      <c r="B779" t="s">
        <v>30</v>
      </c>
      <c r="C779" t="s">
        <v>35</v>
      </c>
    </row>
    <row r="780" spans="1:3" hidden="1" x14ac:dyDescent="0.25">
      <c r="A780">
        <v>96.75</v>
      </c>
      <c r="B780" t="s">
        <v>30</v>
      </c>
      <c r="C780" t="s">
        <v>40</v>
      </c>
    </row>
    <row r="781" spans="1:3" hidden="1" x14ac:dyDescent="0.25">
      <c r="A781">
        <v>100</v>
      </c>
      <c r="B781" t="s">
        <v>22</v>
      </c>
      <c r="C781" t="s">
        <v>39</v>
      </c>
    </row>
    <row r="782" spans="1:3" hidden="1" x14ac:dyDescent="0.25">
      <c r="A782">
        <v>100</v>
      </c>
      <c r="B782" t="s">
        <v>23</v>
      </c>
      <c r="C782" t="s">
        <v>35</v>
      </c>
    </row>
    <row r="783" spans="1:3" hidden="1" x14ac:dyDescent="0.25">
      <c r="A783">
        <v>100</v>
      </c>
      <c r="B783" t="s">
        <v>23</v>
      </c>
      <c r="C783" t="s">
        <v>35</v>
      </c>
    </row>
    <row r="784" spans="1:3" hidden="1" x14ac:dyDescent="0.25">
      <c r="A784">
        <v>100</v>
      </c>
      <c r="B784" t="s">
        <v>23</v>
      </c>
      <c r="C784" t="s">
        <v>35</v>
      </c>
    </row>
    <row r="785" spans="1:3" hidden="1" x14ac:dyDescent="0.25">
      <c r="A785">
        <v>100</v>
      </c>
      <c r="B785" t="s">
        <v>23</v>
      </c>
      <c r="C785" t="s">
        <v>35</v>
      </c>
    </row>
    <row r="786" spans="1:3" hidden="1" x14ac:dyDescent="0.25">
      <c r="A786">
        <v>100</v>
      </c>
      <c r="B786" t="s">
        <v>23</v>
      </c>
      <c r="C786" t="s">
        <v>36</v>
      </c>
    </row>
    <row r="787" spans="1:3" hidden="1" x14ac:dyDescent="0.25">
      <c r="A787">
        <v>100</v>
      </c>
      <c r="B787" t="s">
        <v>23</v>
      </c>
      <c r="C787" t="s">
        <v>38</v>
      </c>
    </row>
    <row r="788" spans="1:3" hidden="1" x14ac:dyDescent="0.25">
      <c r="A788">
        <v>100</v>
      </c>
      <c r="B788" t="s">
        <v>23</v>
      </c>
      <c r="C788" t="s">
        <v>39</v>
      </c>
    </row>
    <row r="789" spans="1:3" hidden="1" x14ac:dyDescent="0.25">
      <c r="A789">
        <v>100</v>
      </c>
      <c r="B789" t="s">
        <v>24</v>
      </c>
      <c r="C789" t="s">
        <v>43</v>
      </c>
    </row>
    <row r="790" spans="1:3" hidden="1" x14ac:dyDescent="0.25">
      <c r="A790">
        <v>100</v>
      </c>
      <c r="B790" t="s">
        <v>24</v>
      </c>
      <c r="C790" t="s">
        <v>35</v>
      </c>
    </row>
    <row r="791" spans="1:3" hidden="1" x14ac:dyDescent="0.25">
      <c r="A791">
        <v>100</v>
      </c>
      <c r="B791" t="s">
        <v>24</v>
      </c>
      <c r="C791" t="s">
        <v>35</v>
      </c>
    </row>
    <row r="792" spans="1:3" hidden="1" x14ac:dyDescent="0.25">
      <c r="A792">
        <v>100</v>
      </c>
      <c r="B792" t="s">
        <v>24</v>
      </c>
      <c r="C792" t="s">
        <v>35</v>
      </c>
    </row>
    <row r="793" spans="1:3" hidden="1" x14ac:dyDescent="0.25">
      <c r="A793">
        <v>100</v>
      </c>
      <c r="B793" t="s">
        <v>24</v>
      </c>
      <c r="C793" t="s">
        <v>35</v>
      </c>
    </row>
    <row r="794" spans="1:3" hidden="1" x14ac:dyDescent="0.25">
      <c r="A794">
        <v>100</v>
      </c>
      <c r="B794" t="s">
        <v>24</v>
      </c>
      <c r="C794" t="s">
        <v>38</v>
      </c>
    </row>
    <row r="795" spans="1:3" hidden="1" x14ac:dyDescent="0.25">
      <c r="A795">
        <v>100</v>
      </c>
      <c r="B795" t="s">
        <v>24</v>
      </c>
      <c r="C795" t="s">
        <v>39</v>
      </c>
    </row>
    <row r="796" spans="1:3" hidden="1" x14ac:dyDescent="0.25">
      <c r="A796">
        <v>100</v>
      </c>
      <c r="B796" t="s">
        <v>24</v>
      </c>
      <c r="C796" t="s">
        <v>40</v>
      </c>
    </row>
    <row r="797" spans="1:3" hidden="1" x14ac:dyDescent="0.25">
      <c r="A797">
        <v>100</v>
      </c>
      <c r="B797" t="s">
        <v>26</v>
      </c>
      <c r="C797" t="s">
        <v>35</v>
      </c>
    </row>
    <row r="798" spans="1:3" hidden="1" x14ac:dyDescent="0.25">
      <c r="A798">
        <v>100</v>
      </c>
      <c r="B798" t="s">
        <v>26</v>
      </c>
      <c r="C798" t="s">
        <v>35</v>
      </c>
    </row>
    <row r="799" spans="1:3" hidden="1" x14ac:dyDescent="0.25">
      <c r="A799">
        <v>100</v>
      </c>
      <c r="B799" t="s">
        <v>26</v>
      </c>
      <c r="C799" t="s">
        <v>38</v>
      </c>
    </row>
    <row r="800" spans="1:3" hidden="1" x14ac:dyDescent="0.25">
      <c r="A800">
        <v>100</v>
      </c>
      <c r="B800" t="s">
        <v>26</v>
      </c>
      <c r="C800" t="s">
        <v>40</v>
      </c>
    </row>
    <row r="801" spans="1:3" hidden="1" x14ac:dyDescent="0.25">
      <c r="A801">
        <v>100</v>
      </c>
      <c r="B801" t="s">
        <v>26</v>
      </c>
      <c r="C801" t="s">
        <v>41</v>
      </c>
    </row>
    <row r="802" spans="1:3" hidden="1" x14ac:dyDescent="0.25">
      <c r="A802">
        <v>100</v>
      </c>
      <c r="B802" t="s">
        <v>27</v>
      </c>
      <c r="C802" t="s">
        <v>35</v>
      </c>
    </row>
    <row r="803" spans="1:3" hidden="1" x14ac:dyDescent="0.25">
      <c r="A803">
        <v>100</v>
      </c>
      <c r="B803" t="s">
        <v>27</v>
      </c>
      <c r="C803" t="s">
        <v>35</v>
      </c>
    </row>
    <row r="804" spans="1:3" hidden="1" x14ac:dyDescent="0.25">
      <c r="A804">
        <v>100</v>
      </c>
      <c r="B804" t="s">
        <v>27</v>
      </c>
      <c r="C804" t="s">
        <v>39</v>
      </c>
    </row>
    <row r="805" spans="1:3" hidden="1" x14ac:dyDescent="0.25">
      <c r="A805">
        <v>100</v>
      </c>
      <c r="B805" t="s">
        <v>27</v>
      </c>
      <c r="C805" t="s">
        <v>40</v>
      </c>
    </row>
    <row r="806" spans="1:3" hidden="1" x14ac:dyDescent="0.25">
      <c r="A806">
        <v>100</v>
      </c>
      <c r="B806" t="s">
        <v>27</v>
      </c>
      <c r="C806" t="s">
        <v>40</v>
      </c>
    </row>
    <row r="807" spans="1:3" hidden="1" x14ac:dyDescent="0.25">
      <c r="A807">
        <v>100</v>
      </c>
      <c r="B807" t="s">
        <v>27</v>
      </c>
      <c r="C807" t="s">
        <v>41</v>
      </c>
    </row>
    <row r="808" spans="1:3" hidden="1" x14ac:dyDescent="0.25">
      <c r="A808">
        <v>100</v>
      </c>
      <c r="B808" t="s">
        <v>28</v>
      </c>
      <c r="C808" t="s">
        <v>43</v>
      </c>
    </row>
    <row r="809" spans="1:3" hidden="1" x14ac:dyDescent="0.25">
      <c r="A809">
        <v>100</v>
      </c>
      <c r="B809" t="s">
        <v>28</v>
      </c>
      <c r="C809" t="s">
        <v>44</v>
      </c>
    </row>
    <row r="810" spans="1:3" hidden="1" x14ac:dyDescent="0.25">
      <c r="A810">
        <v>100</v>
      </c>
      <c r="B810" t="s">
        <v>28</v>
      </c>
      <c r="C810" t="s">
        <v>39</v>
      </c>
    </row>
    <row r="811" spans="1:3" hidden="1" x14ac:dyDescent="0.25">
      <c r="A811">
        <v>100</v>
      </c>
      <c r="B811" t="s">
        <v>28</v>
      </c>
      <c r="C811" t="s">
        <v>40</v>
      </c>
    </row>
    <row r="812" spans="1:3" hidden="1" x14ac:dyDescent="0.25">
      <c r="A812">
        <v>100</v>
      </c>
      <c r="B812" t="s">
        <v>28</v>
      </c>
      <c r="C812" t="s">
        <v>41</v>
      </c>
    </row>
    <row r="813" spans="1:3" hidden="1" x14ac:dyDescent="0.25">
      <c r="A813">
        <v>100</v>
      </c>
      <c r="B813" t="s">
        <v>30</v>
      </c>
      <c r="C813" t="s">
        <v>38</v>
      </c>
    </row>
    <row r="814" spans="1:3" hidden="1" x14ac:dyDescent="0.25">
      <c r="A814">
        <v>100</v>
      </c>
      <c r="B814" t="s">
        <v>32</v>
      </c>
      <c r="C814" t="s">
        <v>38</v>
      </c>
    </row>
    <row r="815" spans="1:3" hidden="1" x14ac:dyDescent="0.25">
      <c r="A815">
        <v>100</v>
      </c>
      <c r="B815" t="s">
        <v>32</v>
      </c>
      <c r="C815" t="s">
        <v>38</v>
      </c>
    </row>
    <row r="816" spans="1:3" hidden="1" x14ac:dyDescent="0.25">
      <c r="A816">
        <v>100</v>
      </c>
      <c r="B816" t="s">
        <v>32</v>
      </c>
      <c r="C816" t="s">
        <v>40</v>
      </c>
    </row>
    <row r="817" spans="1:3" hidden="1" x14ac:dyDescent="0.25">
      <c r="A817">
        <v>100.03</v>
      </c>
      <c r="B817" t="s">
        <v>23</v>
      </c>
      <c r="C817" t="s">
        <v>35</v>
      </c>
    </row>
    <row r="818" spans="1:3" hidden="1" x14ac:dyDescent="0.25">
      <c r="A818">
        <v>104</v>
      </c>
      <c r="B818" t="s">
        <v>27</v>
      </c>
      <c r="C818" t="s">
        <v>44</v>
      </c>
    </row>
    <row r="819" spans="1:3" hidden="1" x14ac:dyDescent="0.25">
      <c r="A819">
        <v>109</v>
      </c>
      <c r="B819" t="s">
        <v>22</v>
      </c>
      <c r="C819" t="s">
        <v>41</v>
      </c>
    </row>
    <row r="820" spans="1:3" hidden="1" x14ac:dyDescent="0.25">
      <c r="A820">
        <v>109.52</v>
      </c>
      <c r="B820" t="s">
        <v>23</v>
      </c>
      <c r="C820" t="s">
        <v>43</v>
      </c>
    </row>
    <row r="821" spans="1:3" hidden="1" x14ac:dyDescent="0.25">
      <c r="A821">
        <v>110</v>
      </c>
      <c r="B821" t="s">
        <v>23</v>
      </c>
      <c r="C821" t="s">
        <v>44</v>
      </c>
    </row>
    <row r="822" spans="1:3" hidden="1" x14ac:dyDescent="0.25">
      <c r="A822">
        <v>112.65</v>
      </c>
      <c r="B822" t="s">
        <v>24</v>
      </c>
      <c r="C822" t="s">
        <v>39</v>
      </c>
    </row>
    <row r="823" spans="1:3" hidden="1" x14ac:dyDescent="0.25">
      <c r="A823">
        <v>115.79</v>
      </c>
      <c r="B823" t="s">
        <v>23</v>
      </c>
      <c r="C823" t="s">
        <v>35</v>
      </c>
    </row>
    <row r="824" spans="1:3" hidden="1" x14ac:dyDescent="0.25">
      <c r="A824">
        <v>117.91</v>
      </c>
      <c r="B824" t="s">
        <v>26</v>
      </c>
      <c r="C824" t="s">
        <v>49</v>
      </c>
    </row>
    <row r="825" spans="1:3" hidden="1" x14ac:dyDescent="0.25">
      <c r="A825">
        <v>120</v>
      </c>
      <c r="B825" t="s">
        <v>24</v>
      </c>
      <c r="C825" t="s">
        <v>38</v>
      </c>
    </row>
    <row r="826" spans="1:3" hidden="1" x14ac:dyDescent="0.25">
      <c r="A826">
        <v>120</v>
      </c>
      <c r="B826" t="s">
        <v>32</v>
      </c>
      <c r="C826" t="s">
        <v>41</v>
      </c>
    </row>
    <row r="827" spans="1:3" hidden="1" x14ac:dyDescent="0.25">
      <c r="A827">
        <v>120.1</v>
      </c>
      <c r="B827" t="s">
        <v>24</v>
      </c>
      <c r="C827" t="s">
        <v>35</v>
      </c>
    </row>
    <row r="828" spans="1:3" hidden="1" x14ac:dyDescent="0.25">
      <c r="A828">
        <v>121.13</v>
      </c>
      <c r="B828" t="s">
        <v>29</v>
      </c>
      <c r="C828" t="s">
        <v>44</v>
      </c>
    </row>
    <row r="829" spans="1:3" hidden="1" x14ac:dyDescent="0.25">
      <c r="A829">
        <v>124.19</v>
      </c>
      <c r="B829" t="s">
        <v>25</v>
      </c>
      <c r="C829" t="s">
        <v>39</v>
      </c>
    </row>
    <row r="830" spans="1:3" hidden="1" x14ac:dyDescent="0.25">
      <c r="A830">
        <v>126.61</v>
      </c>
      <c r="B830" t="s">
        <v>27</v>
      </c>
      <c r="C830" t="s">
        <v>40</v>
      </c>
    </row>
    <row r="831" spans="1:3" hidden="1" x14ac:dyDescent="0.25">
      <c r="A831">
        <v>129</v>
      </c>
      <c r="B831" t="s">
        <v>23</v>
      </c>
      <c r="C831" t="s">
        <v>47</v>
      </c>
    </row>
    <row r="832" spans="1:3" hidden="1" x14ac:dyDescent="0.25">
      <c r="A832">
        <v>129</v>
      </c>
      <c r="B832" t="s">
        <v>26</v>
      </c>
      <c r="C832" t="s">
        <v>37</v>
      </c>
    </row>
    <row r="833" spans="1:3" hidden="1" x14ac:dyDescent="0.25">
      <c r="A833">
        <v>129</v>
      </c>
      <c r="B833" t="s">
        <v>28</v>
      </c>
      <c r="C833" t="s">
        <v>39</v>
      </c>
    </row>
    <row r="834" spans="1:3" x14ac:dyDescent="0.25">
      <c r="A834">
        <v>139.38</v>
      </c>
      <c r="B834" t="s">
        <v>27</v>
      </c>
      <c r="C834" t="s">
        <v>54</v>
      </c>
    </row>
    <row r="835" spans="1:3" hidden="1" x14ac:dyDescent="0.25">
      <c r="A835">
        <v>140</v>
      </c>
      <c r="B835" t="s">
        <v>27</v>
      </c>
      <c r="C835" t="s">
        <v>44</v>
      </c>
    </row>
    <row r="836" spans="1:3" hidden="1" x14ac:dyDescent="0.25">
      <c r="A836">
        <v>140</v>
      </c>
      <c r="B836" t="s">
        <v>28</v>
      </c>
      <c r="C836" t="s">
        <v>44</v>
      </c>
    </row>
    <row r="837" spans="1:3" hidden="1" x14ac:dyDescent="0.25">
      <c r="A837">
        <v>140.03</v>
      </c>
      <c r="B837" t="s">
        <v>26</v>
      </c>
      <c r="C837" t="s">
        <v>40</v>
      </c>
    </row>
    <row r="838" spans="1:3" hidden="1" x14ac:dyDescent="0.25">
      <c r="A838">
        <v>144.71</v>
      </c>
      <c r="B838" t="s">
        <v>26</v>
      </c>
      <c r="C838" t="s">
        <v>38</v>
      </c>
    </row>
    <row r="839" spans="1:3" hidden="1" x14ac:dyDescent="0.25">
      <c r="A839">
        <v>149.25</v>
      </c>
      <c r="B839" t="s">
        <v>27</v>
      </c>
      <c r="C839" t="s">
        <v>44</v>
      </c>
    </row>
    <row r="840" spans="1:3" hidden="1" x14ac:dyDescent="0.25">
      <c r="A840">
        <v>150</v>
      </c>
      <c r="B840" t="s">
        <v>22</v>
      </c>
      <c r="C840" t="s">
        <v>35</v>
      </c>
    </row>
    <row r="841" spans="1:3" hidden="1" x14ac:dyDescent="0.25">
      <c r="A841">
        <v>150</v>
      </c>
      <c r="B841" t="s">
        <v>22</v>
      </c>
      <c r="C841" t="s">
        <v>39</v>
      </c>
    </row>
    <row r="842" spans="1:3" hidden="1" x14ac:dyDescent="0.25">
      <c r="A842">
        <v>150</v>
      </c>
      <c r="B842" t="s">
        <v>23</v>
      </c>
      <c r="C842" t="s">
        <v>41</v>
      </c>
    </row>
    <row r="843" spans="1:3" hidden="1" x14ac:dyDescent="0.25">
      <c r="A843">
        <v>150</v>
      </c>
      <c r="B843" t="s">
        <v>24</v>
      </c>
      <c r="C843" t="s">
        <v>39</v>
      </c>
    </row>
    <row r="844" spans="1:3" hidden="1" x14ac:dyDescent="0.25">
      <c r="A844">
        <v>150</v>
      </c>
      <c r="B844" t="s">
        <v>26</v>
      </c>
      <c r="C844" t="s">
        <v>35</v>
      </c>
    </row>
    <row r="845" spans="1:3" hidden="1" x14ac:dyDescent="0.25">
      <c r="A845">
        <v>150</v>
      </c>
      <c r="B845" t="s">
        <v>26</v>
      </c>
      <c r="C845" t="s">
        <v>35</v>
      </c>
    </row>
    <row r="846" spans="1:3" hidden="1" x14ac:dyDescent="0.25">
      <c r="A846">
        <v>150</v>
      </c>
      <c r="B846" t="s">
        <v>27</v>
      </c>
      <c r="C846" t="s">
        <v>38</v>
      </c>
    </row>
    <row r="847" spans="1:3" hidden="1" x14ac:dyDescent="0.25">
      <c r="A847">
        <v>150</v>
      </c>
      <c r="B847" t="s">
        <v>27</v>
      </c>
      <c r="C847" t="s">
        <v>40</v>
      </c>
    </row>
    <row r="848" spans="1:3" hidden="1" x14ac:dyDescent="0.25">
      <c r="A848">
        <v>150</v>
      </c>
      <c r="B848" t="s">
        <v>27</v>
      </c>
      <c r="C848" t="s">
        <v>41</v>
      </c>
    </row>
    <row r="849" spans="1:3" hidden="1" x14ac:dyDescent="0.25">
      <c r="A849">
        <v>150</v>
      </c>
      <c r="B849" t="s">
        <v>31</v>
      </c>
      <c r="C849" t="s">
        <v>38</v>
      </c>
    </row>
    <row r="850" spans="1:3" hidden="1" x14ac:dyDescent="0.25">
      <c r="A850">
        <v>152.54</v>
      </c>
      <c r="B850" t="s">
        <v>26</v>
      </c>
      <c r="C850" t="s">
        <v>44</v>
      </c>
    </row>
    <row r="851" spans="1:3" hidden="1" x14ac:dyDescent="0.25">
      <c r="A851">
        <v>154.51</v>
      </c>
      <c r="B851" t="s">
        <v>26</v>
      </c>
      <c r="C851" t="s">
        <v>44</v>
      </c>
    </row>
    <row r="852" spans="1:3" hidden="1" x14ac:dyDescent="0.25">
      <c r="A852">
        <v>155.97</v>
      </c>
      <c r="B852" t="s">
        <v>22</v>
      </c>
      <c r="C852" t="s">
        <v>38</v>
      </c>
    </row>
    <row r="853" spans="1:3" hidden="1" x14ac:dyDescent="0.25">
      <c r="A853">
        <v>158.97</v>
      </c>
      <c r="B853" t="s">
        <v>32</v>
      </c>
      <c r="C853" t="s">
        <v>39</v>
      </c>
    </row>
    <row r="854" spans="1:3" hidden="1" x14ac:dyDescent="0.25">
      <c r="A854">
        <v>159</v>
      </c>
      <c r="B854" t="s">
        <v>23</v>
      </c>
      <c r="C854" t="s">
        <v>44</v>
      </c>
    </row>
    <row r="855" spans="1:3" hidden="1" x14ac:dyDescent="0.25">
      <c r="A855">
        <v>165.64</v>
      </c>
      <c r="B855" t="s">
        <v>27</v>
      </c>
      <c r="C855" t="s">
        <v>44</v>
      </c>
    </row>
    <row r="856" spans="1:3" x14ac:dyDescent="0.25">
      <c r="A856">
        <v>173.18</v>
      </c>
      <c r="B856" t="s">
        <v>26</v>
      </c>
      <c r="C856" t="s">
        <v>54</v>
      </c>
    </row>
    <row r="857" spans="1:3" hidden="1" x14ac:dyDescent="0.25">
      <c r="A857">
        <v>174.92</v>
      </c>
      <c r="B857" t="s">
        <v>23</v>
      </c>
      <c r="C857" t="s">
        <v>44</v>
      </c>
    </row>
    <row r="858" spans="1:3" hidden="1" x14ac:dyDescent="0.25">
      <c r="A858">
        <v>178.34</v>
      </c>
      <c r="B858" t="s">
        <v>26</v>
      </c>
      <c r="C858" t="s">
        <v>44</v>
      </c>
    </row>
    <row r="859" spans="1:3" hidden="1" x14ac:dyDescent="0.25">
      <c r="A859">
        <v>184.26</v>
      </c>
      <c r="B859" t="s">
        <v>32</v>
      </c>
      <c r="C859" t="s">
        <v>56</v>
      </c>
    </row>
    <row r="860" spans="1:3" hidden="1" x14ac:dyDescent="0.25">
      <c r="A860">
        <v>185.5</v>
      </c>
      <c r="B860" t="s">
        <v>32</v>
      </c>
      <c r="C860" t="s">
        <v>35</v>
      </c>
    </row>
    <row r="861" spans="1:3" hidden="1" x14ac:dyDescent="0.25">
      <c r="A861">
        <v>188.86</v>
      </c>
      <c r="B861" t="s">
        <v>32</v>
      </c>
      <c r="C861" t="s">
        <v>44</v>
      </c>
    </row>
    <row r="862" spans="1:3" hidden="1" x14ac:dyDescent="0.25">
      <c r="A862">
        <v>193.5</v>
      </c>
      <c r="B862" t="s">
        <v>27</v>
      </c>
      <c r="C862" t="s">
        <v>39</v>
      </c>
    </row>
    <row r="863" spans="1:3" hidden="1" x14ac:dyDescent="0.25">
      <c r="A863">
        <v>197.56</v>
      </c>
      <c r="B863" t="s">
        <v>26</v>
      </c>
      <c r="C863" t="s">
        <v>49</v>
      </c>
    </row>
    <row r="864" spans="1:3" hidden="1" x14ac:dyDescent="0.25">
      <c r="A864">
        <v>199</v>
      </c>
      <c r="B864" t="s">
        <v>32</v>
      </c>
      <c r="C864" t="s">
        <v>44</v>
      </c>
    </row>
    <row r="865" spans="1:3" hidden="1" x14ac:dyDescent="0.25">
      <c r="A865">
        <v>200</v>
      </c>
      <c r="B865" t="s">
        <v>26</v>
      </c>
      <c r="C865" t="s">
        <v>44</v>
      </c>
    </row>
    <row r="866" spans="1:3" hidden="1" x14ac:dyDescent="0.25">
      <c r="A866">
        <v>200</v>
      </c>
      <c r="B866" t="s">
        <v>26</v>
      </c>
      <c r="C866" t="s">
        <v>40</v>
      </c>
    </row>
    <row r="867" spans="1:3" hidden="1" x14ac:dyDescent="0.25">
      <c r="A867">
        <v>200</v>
      </c>
      <c r="B867" t="s">
        <v>28</v>
      </c>
      <c r="C867" t="s">
        <v>39</v>
      </c>
    </row>
    <row r="868" spans="1:3" hidden="1" x14ac:dyDescent="0.25">
      <c r="A868">
        <v>200</v>
      </c>
      <c r="B868" t="s">
        <v>30</v>
      </c>
      <c r="C868" t="s">
        <v>35</v>
      </c>
    </row>
    <row r="869" spans="1:3" hidden="1" x14ac:dyDescent="0.25">
      <c r="A869">
        <v>200</v>
      </c>
      <c r="B869" t="s">
        <v>32</v>
      </c>
      <c r="C869" t="s">
        <v>38</v>
      </c>
    </row>
    <row r="870" spans="1:3" hidden="1" x14ac:dyDescent="0.25">
      <c r="A870">
        <v>202.06</v>
      </c>
      <c r="B870" t="s">
        <v>28</v>
      </c>
      <c r="C870" t="s">
        <v>42</v>
      </c>
    </row>
    <row r="871" spans="1:3" hidden="1" x14ac:dyDescent="0.25">
      <c r="A871">
        <v>203.69</v>
      </c>
      <c r="B871" t="s">
        <v>32</v>
      </c>
      <c r="C871" t="s">
        <v>44</v>
      </c>
    </row>
    <row r="872" spans="1:3" hidden="1" x14ac:dyDescent="0.25">
      <c r="A872">
        <v>204.41</v>
      </c>
      <c r="B872" t="s">
        <v>24</v>
      </c>
      <c r="C872" t="s">
        <v>38</v>
      </c>
    </row>
    <row r="873" spans="1:3" hidden="1" x14ac:dyDescent="0.25">
      <c r="A873">
        <v>210.98</v>
      </c>
      <c r="B873" t="s">
        <v>26</v>
      </c>
      <c r="C873" t="s">
        <v>49</v>
      </c>
    </row>
    <row r="874" spans="1:3" hidden="1" x14ac:dyDescent="0.25">
      <c r="A874">
        <v>223.3</v>
      </c>
      <c r="B874" t="s">
        <v>30</v>
      </c>
      <c r="C874" t="s">
        <v>38</v>
      </c>
    </row>
    <row r="875" spans="1:3" hidden="1" x14ac:dyDescent="0.25">
      <c r="A875">
        <v>229.21</v>
      </c>
      <c r="B875" t="s">
        <v>31</v>
      </c>
      <c r="C875" t="s">
        <v>44</v>
      </c>
    </row>
    <row r="876" spans="1:3" hidden="1" x14ac:dyDescent="0.25">
      <c r="A876">
        <v>232.99</v>
      </c>
      <c r="B876" t="s">
        <v>26</v>
      </c>
      <c r="C876" t="s">
        <v>48</v>
      </c>
    </row>
    <row r="877" spans="1:3" hidden="1" x14ac:dyDescent="0.25">
      <c r="A877">
        <v>235.8</v>
      </c>
      <c r="B877" t="s">
        <v>26</v>
      </c>
      <c r="C877" t="s">
        <v>49</v>
      </c>
    </row>
    <row r="878" spans="1:3" hidden="1" x14ac:dyDescent="0.25">
      <c r="A878">
        <v>238.52</v>
      </c>
      <c r="B878" t="s">
        <v>25</v>
      </c>
      <c r="C878" t="s">
        <v>39</v>
      </c>
    </row>
    <row r="879" spans="1:3" hidden="1" x14ac:dyDescent="0.25">
      <c r="A879">
        <v>239.36</v>
      </c>
      <c r="B879" t="s">
        <v>23</v>
      </c>
      <c r="C879" t="s">
        <v>35</v>
      </c>
    </row>
    <row r="880" spans="1:3" hidden="1" x14ac:dyDescent="0.25">
      <c r="A880">
        <v>245.04</v>
      </c>
      <c r="B880" t="s">
        <v>26</v>
      </c>
      <c r="C880" t="s">
        <v>49</v>
      </c>
    </row>
    <row r="881" spans="1:3" hidden="1" x14ac:dyDescent="0.25">
      <c r="A881">
        <v>246.45</v>
      </c>
      <c r="B881" t="s">
        <v>32</v>
      </c>
      <c r="C881" t="s">
        <v>44</v>
      </c>
    </row>
    <row r="882" spans="1:3" hidden="1" x14ac:dyDescent="0.25">
      <c r="A882">
        <v>249.03</v>
      </c>
      <c r="B882" t="s">
        <v>30</v>
      </c>
      <c r="C882" t="s">
        <v>49</v>
      </c>
    </row>
    <row r="883" spans="1:3" hidden="1" x14ac:dyDescent="0.25">
      <c r="A883">
        <v>250.52</v>
      </c>
      <c r="B883" t="s">
        <v>27</v>
      </c>
      <c r="C883" t="s">
        <v>56</v>
      </c>
    </row>
    <row r="884" spans="1:3" hidden="1" x14ac:dyDescent="0.25">
      <c r="A884">
        <v>251.16</v>
      </c>
      <c r="B884" t="s">
        <v>24</v>
      </c>
      <c r="C884" t="s">
        <v>44</v>
      </c>
    </row>
    <row r="885" spans="1:3" hidden="1" x14ac:dyDescent="0.25">
      <c r="A885">
        <v>253.23</v>
      </c>
      <c r="B885" t="s">
        <v>27</v>
      </c>
      <c r="C885" t="s">
        <v>44</v>
      </c>
    </row>
    <row r="886" spans="1:3" hidden="1" x14ac:dyDescent="0.25">
      <c r="A886">
        <v>258.14</v>
      </c>
      <c r="B886" t="s">
        <v>26</v>
      </c>
      <c r="C886" t="s">
        <v>40</v>
      </c>
    </row>
    <row r="887" spans="1:3" hidden="1" x14ac:dyDescent="0.25">
      <c r="A887">
        <v>260.32</v>
      </c>
      <c r="B887" t="s">
        <v>24</v>
      </c>
      <c r="C887" t="s">
        <v>51</v>
      </c>
    </row>
    <row r="888" spans="1:3" hidden="1" x14ac:dyDescent="0.25">
      <c r="A888">
        <v>269.08999999999997</v>
      </c>
      <c r="B888" t="s">
        <v>32</v>
      </c>
      <c r="C888" t="s">
        <v>44</v>
      </c>
    </row>
    <row r="889" spans="1:3" hidden="1" x14ac:dyDescent="0.25">
      <c r="A889">
        <v>271.93</v>
      </c>
      <c r="B889" t="s">
        <v>32</v>
      </c>
      <c r="C889" t="s">
        <v>44</v>
      </c>
    </row>
    <row r="890" spans="1:3" hidden="1" x14ac:dyDescent="0.25">
      <c r="A890">
        <v>275.8</v>
      </c>
      <c r="B890" t="s">
        <v>23</v>
      </c>
      <c r="C890" t="s">
        <v>44</v>
      </c>
    </row>
    <row r="891" spans="1:3" hidden="1" x14ac:dyDescent="0.25">
      <c r="A891">
        <v>275.87</v>
      </c>
      <c r="B891" t="s">
        <v>32</v>
      </c>
      <c r="C891" t="s">
        <v>44</v>
      </c>
    </row>
    <row r="892" spans="1:3" hidden="1" x14ac:dyDescent="0.25">
      <c r="A892">
        <v>277.48</v>
      </c>
      <c r="B892" t="s">
        <v>23</v>
      </c>
      <c r="C892" t="s">
        <v>44</v>
      </c>
    </row>
    <row r="893" spans="1:3" hidden="1" x14ac:dyDescent="0.25">
      <c r="A893">
        <v>279.83999999999997</v>
      </c>
      <c r="B893" t="s">
        <v>26</v>
      </c>
      <c r="C893" t="s">
        <v>42</v>
      </c>
    </row>
    <row r="894" spans="1:3" hidden="1" x14ac:dyDescent="0.25">
      <c r="A894">
        <v>280.77</v>
      </c>
      <c r="B894" t="s">
        <v>25</v>
      </c>
      <c r="C894" t="s">
        <v>35</v>
      </c>
    </row>
    <row r="895" spans="1:3" hidden="1" x14ac:dyDescent="0.25">
      <c r="A895">
        <v>283.08999999999997</v>
      </c>
      <c r="B895" t="s">
        <v>26</v>
      </c>
      <c r="C895" t="s">
        <v>40</v>
      </c>
    </row>
    <row r="896" spans="1:3" hidden="1" x14ac:dyDescent="0.25">
      <c r="A896">
        <v>285.81</v>
      </c>
      <c r="B896" t="s">
        <v>27</v>
      </c>
      <c r="C896" t="s">
        <v>42</v>
      </c>
    </row>
    <row r="897" spans="1:3" hidden="1" x14ac:dyDescent="0.25">
      <c r="A897">
        <v>287.35000000000002</v>
      </c>
      <c r="B897" t="s">
        <v>26</v>
      </c>
      <c r="C897" t="s">
        <v>40</v>
      </c>
    </row>
    <row r="898" spans="1:3" hidden="1" x14ac:dyDescent="0.25">
      <c r="A898">
        <v>289.48</v>
      </c>
      <c r="B898" t="s">
        <v>32</v>
      </c>
      <c r="C898" t="s">
        <v>44</v>
      </c>
    </row>
    <row r="899" spans="1:3" hidden="1" x14ac:dyDescent="0.25">
      <c r="A899">
        <v>301.67</v>
      </c>
      <c r="B899" t="s">
        <v>23</v>
      </c>
      <c r="C899" t="s">
        <v>44</v>
      </c>
    </row>
    <row r="900" spans="1:3" hidden="1" x14ac:dyDescent="0.25">
      <c r="A900">
        <v>307.73</v>
      </c>
      <c r="B900" t="s">
        <v>32</v>
      </c>
      <c r="C900" t="s">
        <v>44</v>
      </c>
    </row>
    <row r="901" spans="1:3" hidden="1" x14ac:dyDescent="0.25">
      <c r="A901">
        <v>367.45</v>
      </c>
      <c r="B901" t="s">
        <v>32</v>
      </c>
      <c r="C901" t="s">
        <v>42</v>
      </c>
    </row>
    <row r="902" spans="1:3" hidden="1" x14ac:dyDescent="0.25">
      <c r="A902">
        <v>383.16</v>
      </c>
      <c r="B902" t="s">
        <v>26</v>
      </c>
      <c r="C902" t="s">
        <v>42</v>
      </c>
    </row>
    <row r="903" spans="1:3" hidden="1" x14ac:dyDescent="0.25">
      <c r="A903">
        <v>478.45</v>
      </c>
      <c r="B903" t="s">
        <v>31</v>
      </c>
      <c r="C903" t="s">
        <v>34</v>
      </c>
    </row>
    <row r="904" spans="1:3" hidden="1" x14ac:dyDescent="0.25">
      <c r="A904">
        <v>487.13</v>
      </c>
      <c r="B904" t="s">
        <v>28</v>
      </c>
      <c r="C904" t="s">
        <v>34</v>
      </c>
    </row>
    <row r="905" spans="1:3" hidden="1" x14ac:dyDescent="0.25">
      <c r="A905">
        <v>558.21</v>
      </c>
      <c r="B905" t="s">
        <v>32</v>
      </c>
      <c r="C905" t="s">
        <v>42</v>
      </c>
    </row>
    <row r="906" spans="1:3" hidden="1" x14ac:dyDescent="0.25">
      <c r="A906">
        <v>560.52</v>
      </c>
      <c r="B906" t="s">
        <v>26</v>
      </c>
      <c r="C906" t="s">
        <v>42</v>
      </c>
    </row>
    <row r="907" spans="1:3" hidden="1" x14ac:dyDescent="0.25">
      <c r="A907">
        <v>673.22</v>
      </c>
      <c r="B907" t="s">
        <v>25</v>
      </c>
      <c r="C907" t="s">
        <v>44</v>
      </c>
    </row>
    <row r="908" spans="1:3" x14ac:dyDescent="0.25">
      <c r="A908">
        <v>674.09</v>
      </c>
      <c r="B908" t="s">
        <v>32</v>
      </c>
      <c r="C908" t="s">
        <v>54</v>
      </c>
    </row>
    <row r="909" spans="1:3" hidden="1" x14ac:dyDescent="0.25">
      <c r="A909">
        <v>685.74</v>
      </c>
      <c r="B909" t="s">
        <v>26</v>
      </c>
      <c r="C909" t="s">
        <v>49</v>
      </c>
    </row>
    <row r="910" spans="1:3" hidden="1" x14ac:dyDescent="0.25">
      <c r="A910">
        <v>709.99</v>
      </c>
      <c r="B910" t="s">
        <v>26</v>
      </c>
      <c r="C910" t="s">
        <v>42</v>
      </c>
    </row>
    <row r="911" spans="1:3" hidden="1" x14ac:dyDescent="0.25">
      <c r="A911">
        <v>797.18</v>
      </c>
      <c r="B911" t="s">
        <v>26</v>
      </c>
      <c r="C911" t="s">
        <v>42</v>
      </c>
    </row>
    <row r="912" spans="1:3" hidden="1" x14ac:dyDescent="0.25">
      <c r="A912">
        <v>809.64</v>
      </c>
      <c r="B912" t="s">
        <v>24</v>
      </c>
      <c r="C912" t="s">
        <v>42</v>
      </c>
    </row>
    <row r="913" spans="1:3" hidden="1" x14ac:dyDescent="0.25">
      <c r="A913">
        <v>809.77</v>
      </c>
      <c r="B913" t="s">
        <v>27</v>
      </c>
      <c r="C913" t="s">
        <v>42</v>
      </c>
    </row>
    <row r="914" spans="1:3" hidden="1" x14ac:dyDescent="0.25">
      <c r="A914">
        <v>847.07</v>
      </c>
      <c r="B914" t="s">
        <v>32</v>
      </c>
      <c r="C914" t="s">
        <v>42</v>
      </c>
    </row>
    <row r="915" spans="1:3" hidden="1" x14ac:dyDescent="0.25">
      <c r="A915">
        <v>922.65</v>
      </c>
      <c r="B915" t="s">
        <v>22</v>
      </c>
      <c r="C915" t="s">
        <v>34</v>
      </c>
    </row>
    <row r="916" spans="1:3" hidden="1" x14ac:dyDescent="0.25">
      <c r="A916">
        <v>934.2</v>
      </c>
      <c r="B916" t="s">
        <v>23</v>
      </c>
      <c r="C916" t="s">
        <v>42</v>
      </c>
    </row>
    <row r="917" spans="1:3" hidden="1" x14ac:dyDescent="0.25">
      <c r="A917">
        <v>934.2</v>
      </c>
      <c r="B917" t="s">
        <v>23</v>
      </c>
      <c r="C917" t="s">
        <v>42</v>
      </c>
    </row>
    <row r="918" spans="1:3" hidden="1" x14ac:dyDescent="0.25">
      <c r="A918">
        <v>946.58</v>
      </c>
      <c r="B918" t="s">
        <v>25</v>
      </c>
      <c r="C918" t="s">
        <v>34</v>
      </c>
    </row>
    <row r="919" spans="1:3" hidden="1" x14ac:dyDescent="0.25">
      <c r="A919">
        <v>996.48</v>
      </c>
      <c r="B919" t="s">
        <v>25</v>
      </c>
      <c r="C919" t="s">
        <v>42</v>
      </c>
    </row>
    <row r="920" spans="1:3" hidden="1" x14ac:dyDescent="0.25">
      <c r="A920">
        <v>1094.83</v>
      </c>
      <c r="B920" t="s">
        <v>29</v>
      </c>
      <c r="C920" t="s">
        <v>34</v>
      </c>
    </row>
    <row r="921" spans="1:3" hidden="1" x14ac:dyDescent="0.25">
      <c r="A921">
        <v>1180.57</v>
      </c>
      <c r="B921" t="s">
        <v>27</v>
      </c>
      <c r="C921" t="s">
        <v>42</v>
      </c>
    </row>
    <row r="922" spans="1:3" hidden="1" x14ac:dyDescent="0.25">
      <c r="A922">
        <v>1311.66</v>
      </c>
      <c r="B922" t="s">
        <v>32</v>
      </c>
      <c r="C922" t="s">
        <v>42</v>
      </c>
    </row>
    <row r="923" spans="1:3" hidden="1" x14ac:dyDescent="0.25">
      <c r="A923">
        <v>1365.06</v>
      </c>
      <c r="B923" t="s">
        <v>26</v>
      </c>
      <c r="C923" t="s">
        <v>49</v>
      </c>
    </row>
    <row r="924" spans="1:3" hidden="1" x14ac:dyDescent="0.25">
      <c r="A924">
        <v>1517.35</v>
      </c>
      <c r="B924" t="s">
        <v>32</v>
      </c>
      <c r="C924" t="s">
        <v>34</v>
      </c>
    </row>
    <row r="925" spans="1:3" hidden="1" x14ac:dyDescent="0.25">
      <c r="A925">
        <v>1791.39</v>
      </c>
      <c r="B925" t="s">
        <v>26</v>
      </c>
      <c r="C925" t="s">
        <v>34</v>
      </c>
    </row>
    <row r="926" spans="1:3" hidden="1" x14ac:dyDescent="0.25">
      <c r="A926">
        <v>1949.84</v>
      </c>
      <c r="B926" t="s">
        <v>24</v>
      </c>
      <c r="C926" t="s">
        <v>34</v>
      </c>
    </row>
    <row r="927" spans="1:3" hidden="1" x14ac:dyDescent="0.25">
      <c r="A927">
        <v>2037.24</v>
      </c>
      <c r="B927" t="s">
        <v>30</v>
      </c>
      <c r="C927" t="s">
        <v>34</v>
      </c>
    </row>
    <row r="928" spans="1:3" hidden="1" x14ac:dyDescent="0.25">
      <c r="A928">
        <v>2550.67</v>
      </c>
      <c r="B928" t="s">
        <v>23</v>
      </c>
      <c r="C928" t="s">
        <v>34</v>
      </c>
    </row>
    <row r="929" spans="1:3" hidden="1" x14ac:dyDescent="0.25">
      <c r="A929">
        <v>2771.69</v>
      </c>
      <c r="B929" t="s">
        <v>32</v>
      </c>
      <c r="C929" t="s">
        <v>42</v>
      </c>
    </row>
    <row r="930" spans="1:3" hidden="1" x14ac:dyDescent="0.25">
      <c r="A930">
        <v>2892.43</v>
      </c>
      <c r="B930" t="s">
        <v>27</v>
      </c>
      <c r="C930" t="s">
        <v>34</v>
      </c>
    </row>
  </sheetData>
  <autoFilter ref="A1:C930" xr:uid="{ADEEA772-AB53-4DB9-B3EA-92AF5D92CCAD}">
    <filterColumn colId="2">
      <filters>
        <filter val="POS - VALECARD"/>
        <filter val="TEF - VALECARD CREDITO"/>
      </filters>
    </filterColumn>
  </autoFilter>
  <sortState xmlns:xlrd2="http://schemas.microsoft.com/office/spreadsheetml/2017/richdata2" ref="A2:C930">
    <sortCondition ref="A2:A930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Sheet1</vt:lpstr>
      <vt:lpstr>frota flex</vt:lpstr>
      <vt:lpstr>QRLINX</vt:lpstr>
      <vt:lpstr>PIX CIELO</vt:lpstr>
      <vt:lpstr>cielo</vt:lpstr>
      <vt:lpstr>maestro</vt:lpstr>
      <vt:lpstr>master</vt:lpstr>
      <vt:lpstr>ALELO</vt:lpstr>
      <vt:lpstr>VALEC</vt:lpstr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POSTO NH</cp:lastModifiedBy>
  <dcterms:created xsi:type="dcterms:W3CDTF">2026-02-27T11:12:05Z</dcterms:created>
  <dcterms:modified xsi:type="dcterms:W3CDTF">2026-02-27T14:16:02Z</dcterms:modified>
</cp:coreProperties>
</file>