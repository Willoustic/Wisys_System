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orios\MES 02 2026\VITORIA\"/>
    </mc:Choice>
  </mc:AlternateContent>
  <xr:revisionPtr revIDLastSave="0" documentId="13_ncr:1_{0E5E5D5F-AF84-410E-B773-B8B3C5B110C6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Sheet1" sheetId="1" r:id="rId1"/>
    <sheet name="Planilha3" sheetId="4" r:id="rId2"/>
    <sheet name="FROTA FLEX" sheetId="3" r:id="rId3"/>
    <sheet name="vendas" sheetId="2" r:id="rId4"/>
  </sheets>
  <definedNames>
    <definedName name="_xlnm._FilterDatabase" localSheetId="3" hidden="1">vendas!$A$1:$C$434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8" i="1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H9" i="1"/>
  <c r="H16" i="1"/>
  <c r="D16" i="1" s="1"/>
  <c r="E16" i="1" s="1"/>
  <c r="C22" i="3"/>
  <c r="D22" i="3"/>
  <c r="C18" i="1"/>
  <c r="C23" i="1" s="1"/>
  <c r="D17" i="1"/>
  <c r="E17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  <c r="E8" i="1" l="1"/>
</calcChain>
</file>

<file path=xl/sharedStrings.xml><?xml version="1.0" encoding="utf-8"?>
<sst xmlns="http://schemas.openxmlformats.org/spreadsheetml/2006/main" count="1217" uniqueCount="203">
  <si>
    <t>cod_pessoa</t>
  </si>
  <si>
    <t>nom_pessoa</t>
  </si>
  <si>
    <t>val_duplicata</t>
  </si>
  <si>
    <t>Total bancos</t>
  </si>
  <si>
    <t>DIF</t>
  </si>
  <si>
    <t>Stone</t>
  </si>
  <si>
    <t>Cielo</t>
  </si>
  <si>
    <t>Sites</t>
  </si>
  <si>
    <t>CARTAO ALELO AUTO</t>
  </si>
  <si>
    <t>CARTAO CIELO ELO CREDITO</t>
  </si>
  <si>
    <t>CARTAO CIELO ELO DEBITO</t>
  </si>
  <si>
    <t>CARTAO FITCARD</t>
  </si>
  <si>
    <t>CARTAO MAESTRO</t>
  </si>
  <si>
    <t>CARTAO MASTERCARD</t>
  </si>
  <si>
    <t>CARTAO PIX</t>
  </si>
  <si>
    <t>CARTAO VALECARD</t>
  </si>
  <si>
    <t>CARTAO VISA CREDITO</t>
  </si>
  <si>
    <t>CARTAO VISA DEBITO</t>
  </si>
  <si>
    <t>CTF TECHNOLOGIES DO BRASIL LTDA</t>
  </si>
  <si>
    <t>SODEXO PASS DO BRASIL SERVICOS E COMERCIO S.A.</t>
  </si>
  <si>
    <t>STONE INSTITUICAO DE PAGAMENTO S.A</t>
  </si>
  <si>
    <t>TICKET SOLUCOES HDFGT SA</t>
  </si>
  <si>
    <t>VIBRA ENERGIA S.A</t>
  </si>
  <si>
    <t>VIBRA ENERGIA S.A - PREMIA PIX</t>
  </si>
  <si>
    <t>AMILTON DO NASCIMENTO OLIVEIRA</t>
  </si>
  <si>
    <t>ANTONIO DIOGO SILVA MEDEIROS</t>
  </si>
  <si>
    <t>ARTUR HENRIQUE MELO DE PAULA</t>
  </si>
  <si>
    <t>DAMIAO ANDREI FERNANDES GOMES</t>
  </si>
  <si>
    <t>EDINALDO VICENTE DA SILVA</t>
  </si>
  <si>
    <t>FLAVIO CORTEZ DA SILVA</t>
  </si>
  <si>
    <t>MONIQUE EMILIANE CANDIDO</t>
  </si>
  <si>
    <t>OLAVO SOUZA FILHO</t>
  </si>
  <si>
    <t>des_forma_pagto</t>
  </si>
  <si>
    <t xml:space="preserve">CTF ANTENA </t>
  </si>
  <si>
    <t>DINHEIRO</t>
  </si>
  <si>
    <t>POS - GOODCARD</t>
  </si>
  <si>
    <t>QRLinx - PIX</t>
  </si>
  <si>
    <t>TEF - VISA CREDITO</t>
  </si>
  <si>
    <t>TEF - VISA DEBITO</t>
  </si>
  <si>
    <t>NOTA A PRAZO</t>
  </si>
  <si>
    <t>POS - ALELO</t>
  </si>
  <si>
    <t>POS - CIELO PIX</t>
  </si>
  <si>
    <t>POS - CTF</t>
  </si>
  <si>
    <t>POS - MASTERCARD</t>
  </si>
  <si>
    <t>POS - VALECARD</t>
  </si>
  <si>
    <t xml:space="preserve">PREMMIA - CARTÃO </t>
  </si>
  <si>
    <t>TEF - ELO CREDITO</t>
  </si>
  <si>
    <t>TEF - ELO DEBITO</t>
  </si>
  <si>
    <t>TEF - MAESTRO</t>
  </si>
  <si>
    <t>TEF - MASTERCARD</t>
  </si>
  <si>
    <t>VIBRA - PREMIA PIX</t>
  </si>
  <si>
    <t>POS - FITCARD</t>
  </si>
  <si>
    <t>SODEXO POS</t>
  </si>
  <si>
    <t>POS - MAESTRO</t>
  </si>
  <si>
    <t>VOUCCHER - RESGATE PREMMIA</t>
  </si>
  <si>
    <t>val_pagamento</t>
  </si>
  <si>
    <t>CARTOES</t>
  </si>
  <si>
    <t>DEPOSITOS</t>
  </si>
  <si>
    <t>DIF DE CAIXA</t>
  </si>
  <si>
    <t>NOTAS A PRAZO</t>
  </si>
  <si>
    <t>SANGRIAS</t>
  </si>
  <si>
    <t>TOTAL</t>
  </si>
  <si>
    <t>Sequência</t>
  </si>
  <si>
    <t>Número</t>
  </si>
  <si>
    <t>R$ Total</t>
  </si>
  <si>
    <t>Staus</t>
  </si>
  <si>
    <t>Placa / Motorista</t>
  </si>
  <si>
    <t>Requisição</t>
  </si>
  <si>
    <t>Emissão</t>
  </si>
  <si>
    <t>Vencimento</t>
  </si>
  <si>
    <t>Estabelecimento</t>
  </si>
  <si>
    <t>Caixa</t>
  </si>
  <si>
    <t>Turno</t>
  </si>
  <si>
    <t>Cliente</t>
  </si>
  <si>
    <t>903769/1</t>
  </si>
  <si>
    <t>Em Aberto</t>
  </si>
  <si>
    <t>POSTO VITORIA COMERCIO LTDA</t>
  </si>
  <si>
    <t>PDV-02</t>
  </si>
  <si>
    <t>TAVARES DE MELO EMPREENDIMENTOS S/A</t>
  </si>
  <si>
    <t>903814/1</t>
  </si>
  <si>
    <t>RQG-6J02/MARCOS</t>
  </si>
  <si>
    <t>903576/1</t>
  </si>
  <si>
    <t>NYL-7G32/EUDES</t>
  </si>
  <si>
    <t>ALEXANDRO CORTES DA FONSECA SERVICOS DE CONSTRUCAO</t>
  </si>
  <si>
    <t>903932/1</t>
  </si>
  <si>
    <t>RID-9F98/AURELIO</t>
  </si>
  <si>
    <t>PDV-01</t>
  </si>
  <si>
    <t>COMPANHIA INDUSTRIAL DE CIMENTO APODI</t>
  </si>
  <si>
    <t>903724/1</t>
  </si>
  <si>
    <t>QGU-5E37</t>
  </si>
  <si>
    <t>TECNAL - TECNOLOGIA AMBIENTAL EM ATERROS SANITARIOS LTDA</t>
  </si>
  <si>
    <t>903528/1</t>
  </si>
  <si>
    <t>QFD-7G22/LUAN</t>
  </si>
  <si>
    <t>RIOGRANDENSE DISTRIBUIDORA LTDA</t>
  </si>
  <si>
    <t>903571/1</t>
  </si>
  <si>
    <t>RIE-8H53</t>
  </si>
  <si>
    <t>903674/1</t>
  </si>
  <si>
    <t>QFD-7H02/LEANDRO</t>
  </si>
  <si>
    <t>903542/1</t>
  </si>
  <si>
    <t>RIE-6J85/JOSE ALDO</t>
  </si>
  <si>
    <t>903764/1</t>
  </si>
  <si>
    <t>RIE-8B43/MARCOS</t>
  </si>
  <si>
    <t>903812/1</t>
  </si>
  <si>
    <t>GER-0001/LEANDRO</t>
  </si>
  <si>
    <t>903543/1</t>
  </si>
  <si>
    <t>903896/1</t>
  </si>
  <si>
    <t>OJT-2E73/JAILTON</t>
  </si>
  <si>
    <t>903738/1</t>
  </si>
  <si>
    <t>TRANSPORTADORA ESMERALDA</t>
  </si>
  <si>
    <t>903602/1</t>
  </si>
  <si>
    <t>QFD-7G64/JEFESON</t>
  </si>
  <si>
    <t>903767/1</t>
  </si>
  <si>
    <t>UAW-9A85/MURILO</t>
  </si>
  <si>
    <t>903871/1</t>
  </si>
  <si>
    <t>RQE-1C21/JOSIVALDO</t>
  </si>
  <si>
    <t>903816/1</t>
  </si>
  <si>
    <t>QFD-7G42</t>
  </si>
  <si>
    <t>903754/1</t>
  </si>
  <si>
    <t>SFN-0F66/WANDEMBERG</t>
  </si>
  <si>
    <t>903941/1</t>
  </si>
  <si>
    <t>QSJ-8G25</t>
  </si>
  <si>
    <t>Código</t>
  </si>
  <si>
    <t>Data / Hora</t>
  </si>
  <si>
    <t>Tipo de Combustível</t>
  </si>
  <si>
    <t>Qtde Litros</t>
  </si>
  <si>
    <t>Valor Bruto</t>
  </si>
  <si>
    <t>OPR LOGISTICA PONTUAL LTDA</t>
  </si>
  <si>
    <t>GASOLINA</t>
  </si>
  <si>
    <t>43.96L</t>
  </si>
  <si>
    <t>FADEL TRANSPORTES E LOGISTICA LTDA</t>
  </si>
  <si>
    <t>DIESEL</t>
  </si>
  <si>
    <t>315.34L</t>
  </si>
  <si>
    <t>ARLA 32</t>
  </si>
  <si>
    <t>20.00L</t>
  </si>
  <si>
    <t>SJM DISTRIBUIDORA DE BEBIDAS LTDA</t>
  </si>
  <si>
    <t>4.56L</t>
  </si>
  <si>
    <t>CG3 ENGENHARIA LTDA</t>
  </si>
  <si>
    <t>14.09L</t>
  </si>
  <si>
    <t>9.87L</t>
  </si>
  <si>
    <t>NET4YOU INTERNET SOLUTION LTDA</t>
  </si>
  <si>
    <t>37.56L</t>
  </si>
  <si>
    <t>33.31L</t>
  </si>
  <si>
    <t>43.35L</t>
  </si>
  <si>
    <t>INDUSTRIAS BECKER LTDA</t>
  </si>
  <si>
    <t>8.95L</t>
  </si>
  <si>
    <t>PROTASIO LOCACAO E TURISMO LTDA</t>
  </si>
  <si>
    <t>13.57L</t>
  </si>
  <si>
    <t>MULTIGIRO COMERCIO E DISTRIBUICAO LTDA</t>
  </si>
  <si>
    <t>1.74L</t>
  </si>
  <si>
    <t>162.27L</t>
  </si>
  <si>
    <t>44.90L</t>
  </si>
  <si>
    <t>GOTEMBURGO VEICULOS LTDA</t>
  </si>
  <si>
    <t>ETANOL</t>
  </si>
  <si>
    <t>29.47L</t>
  </si>
  <si>
    <t>CENEGED COMPANHIA ELETROMECANICA E GERENCIAMENTO DE DADOS SA</t>
  </si>
  <si>
    <t>38.18L</t>
  </si>
  <si>
    <t>29.45L</t>
  </si>
  <si>
    <t>M DIAS BRANCO SA INDUSTRIA E COMERCIO DE ALIMENTOS</t>
  </si>
  <si>
    <t>125.03L</t>
  </si>
  <si>
    <t>101.44L</t>
  </si>
  <si>
    <t>13.13L</t>
  </si>
  <si>
    <t>14.46L</t>
  </si>
  <si>
    <t>SIDORE INDUSTRIA E COMERCIO DE REFRIGERANTES E AGUAS MINERAIS LTDA</t>
  </si>
  <si>
    <t>-</t>
  </si>
  <si>
    <t>CODIBA COMERCIAL DISTRIBUIDORA DE BATERIAS LTDA</t>
  </si>
  <si>
    <t>43.56L</t>
  </si>
  <si>
    <t>22.59L</t>
  </si>
  <si>
    <t>32.04L</t>
  </si>
  <si>
    <t>37.79L</t>
  </si>
  <si>
    <t>8.32L</t>
  </si>
  <si>
    <t>12.14L</t>
  </si>
  <si>
    <t>MINISTERIO DA JUSTICA E SEGURANCA PUBLICA</t>
  </si>
  <si>
    <t>36.82L</t>
  </si>
  <si>
    <t>1.057.967.339 (V)</t>
  </si>
  <si>
    <t>1.057.968.400 (V)</t>
  </si>
  <si>
    <t>1.057.968.407 (V)</t>
  </si>
  <si>
    <t>1.057.971.185 (V)</t>
  </si>
  <si>
    <t>1.057.979.829 (V)</t>
  </si>
  <si>
    <t>1.057.985.392 (V)</t>
  </si>
  <si>
    <t>1.057.989.976 (V)</t>
  </si>
  <si>
    <t>1.057.990.439 (V)</t>
  </si>
  <si>
    <t>1.057.991.100 (V)</t>
  </si>
  <si>
    <t>1.057.999.114 (V)</t>
  </si>
  <si>
    <t>1.057.999.492 (V)</t>
  </si>
  <si>
    <t>1.058.004.074 (V)</t>
  </si>
  <si>
    <t>1.058.040.317 (V)</t>
  </si>
  <si>
    <t>1.058.042.553 (V)</t>
  </si>
  <si>
    <t>1.058.086.279 (V)</t>
  </si>
  <si>
    <t>1.058.110.149 (V)</t>
  </si>
  <si>
    <t>1.058.110.616 (V)</t>
  </si>
  <si>
    <t>1.058.116.428 (V)</t>
  </si>
  <si>
    <t>1.058.127.610 (V)</t>
  </si>
  <si>
    <t>1.058.129.233 (V)</t>
  </si>
  <si>
    <t>1.058.131.229 (V)</t>
  </si>
  <si>
    <t>1.058.135.785 (V)</t>
  </si>
  <si>
    <t>1.056.820.631 (V)</t>
  </si>
  <si>
    <t>1.058.147.536 (V)</t>
  </si>
  <si>
    <t>1.058.148.686 (V)</t>
  </si>
  <si>
    <t>1.058.157.648 (V)</t>
  </si>
  <si>
    <t>1.058.167.312 (V)</t>
  </si>
  <si>
    <t>1.058.179.585 (V)</t>
  </si>
  <si>
    <t>1.058.196.824 (V)</t>
  </si>
  <si>
    <t>1.058.205.315 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</si>
</sst>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sz val="11"/>
      <color rgb="FF2F36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164" fontId="0" fillId="0" borderId="1" xfId="0" applyNumberFormat="1" applyBorder="1"/>
    <xf numFmtId="164" fontId="2" fillId="2" borderId="1" xfId="0" applyNumberFormat="1" applyFont="1" applyFill="1" applyBorder="1"/>
    <xf numFmtId="4" fontId="0" fillId="0" borderId="0" xfId="0" applyNumberFormat="1"/>
    <xf numFmtId="14" fontId="0" fillId="0" borderId="0" xfId="0" applyNumberFormat="1"/>
    <xf numFmtId="4" fontId="3" fillId="0" borderId="0" xfId="0" applyNumberFormat="1" applyFont="1"/>
    <xf numFmtId="0" fontId="3" fillId="0" borderId="0" xfId="0" applyFont="1"/>
    <xf numFmtId="22" fontId="0" fillId="0" borderId="0" xfId="0" applyNumberFormat="1"/>
  </cellXfs>
  <cellStyles count="1">
    <cellStyle name="Normal" xfId="0" builtinId="0"/>
  </cellStyles>
  <dxfs count="9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74E43F-EB5E-4B91-9EDF-D14DEE5EFA8D}" name="Tabela1" displayName="Tabela1" ref="A1:H17" totalsRowShown="0" headerRowDxfId="8" headerRowBorderDxfId="6" tableBorderDxfId="7">
  <autoFilter ref="A1:H17" xr:uid="{3D74E43F-EB5E-4B91-9EDF-D14DEE5EFA8D}"/>
  <tableColumns count="8">
    <tableColumn id="1" xr3:uid="{C122A4E5-0998-49A6-97EA-66487837592D}" name="cod_pessoa"/>
    <tableColumn id="2" xr3:uid="{5AB7DDD8-0B1B-4665-87B9-79C7A0E309AB}" name="nom_pessoa"/>
    <tableColumn id="3" xr3:uid="{3FC7D68C-478F-46EB-A32C-66C4BC769F6A}" name="val_duplicata" dataDxfId="5"/>
    <tableColumn id="4" xr3:uid="{D9BFCB04-048D-4D2B-9903-7AC8E4E91C07}" name="Total bancos" dataDxfId="4">
      <calculatedColumnFormula>SUM(F2:H2)</calculatedColumnFormula>
    </tableColumn>
    <tableColumn id="5" xr3:uid="{688393C7-887F-49EA-9ADA-BF8BE1B5A210}" name="DIF" dataDxfId="3">
      <calculatedColumnFormula>C2-D2</calculatedColumnFormula>
    </tableColumn>
    <tableColumn id="6" xr3:uid="{3FECBBA9-2949-4FDE-9677-9A9DA610C3A9}" name="Stone" dataDxfId="2"/>
    <tableColumn id="7" xr3:uid="{579F715F-657B-4B3D-B667-78180D1FC39D}" name="Cielo" dataDxfId="1"/>
    <tableColumn id="8" xr3:uid="{11CCF51A-5A5A-4481-B02E-C92118142513}" name="Si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D26" sqref="D26"/>
    </sheetView>
  </sheetViews>
  <sheetFormatPr defaultRowHeight="15" x14ac:dyDescent="0.25"/>
  <cols>
    <col min="1" max="1" width="15.85546875" bestFit="1" customWidth="1"/>
    <col min="2" max="2" width="48.28515625" bestFit="1" customWidth="1"/>
    <col min="3" max="3" width="17.28515625" bestFit="1" customWidth="1"/>
    <col min="4" max="4" width="16.85546875" bestFit="1" customWidth="1"/>
    <col min="5" max="5" width="13.28515625" bestFit="1" customWidth="1"/>
    <col min="6" max="6" width="12.140625" bestFit="1" customWidth="1"/>
    <col min="7" max="7" width="10.140625" bestFit="1" customWidth="1"/>
    <col min="8" max="8" width="12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1710</v>
      </c>
      <c r="B2" t="s">
        <v>8</v>
      </c>
      <c r="C2" s="2">
        <v>2097.29</v>
      </c>
      <c r="D2" s="2">
        <f t="shared" ref="D2:D17" si="0">SUM(F2:H2)</f>
        <v>2097.29</v>
      </c>
      <c r="E2" s="2">
        <f t="shared" ref="E2:E17" si="1">C2-D2</f>
        <v>0</v>
      </c>
      <c r="F2" s="2">
        <v>0</v>
      </c>
      <c r="G2" s="7">
        <v>2097.29</v>
      </c>
      <c r="H2" s="2">
        <v>0</v>
      </c>
    </row>
    <row r="3" spans="1:8" x14ac:dyDescent="0.25">
      <c r="A3">
        <v>157</v>
      </c>
      <c r="B3" t="s">
        <v>9</v>
      </c>
      <c r="C3" s="2">
        <v>584.87</v>
      </c>
      <c r="D3" s="2">
        <f t="shared" si="0"/>
        <v>584.87</v>
      </c>
      <c r="E3" s="2">
        <f t="shared" si="1"/>
        <v>0</v>
      </c>
      <c r="F3" s="2">
        <v>0</v>
      </c>
      <c r="G3" s="8">
        <v>584.87</v>
      </c>
      <c r="H3" s="2">
        <v>0</v>
      </c>
    </row>
    <row r="4" spans="1:8" x14ac:dyDescent="0.25">
      <c r="A4">
        <v>158</v>
      </c>
      <c r="B4" t="s">
        <v>10</v>
      </c>
      <c r="C4" s="2">
        <v>1104.8499999999999</v>
      </c>
      <c r="D4" s="2">
        <f t="shared" si="0"/>
        <v>1104.8499999999999</v>
      </c>
      <c r="E4" s="2">
        <f t="shared" si="1"/>
        <v>0</v>
      </c>
      <c r="F4" s="2">
        <v>0</v>
      </c>
      <c r="G4" s="7">
        <v>1104.8499999999999</v>
      </c>
      <c r="H4" s="2">
        <v>0</v>
      </c>
    </row>
    <row r="5" spans="1:8" x14ac:dyDescent="0.25">
      <c r="A5">
        <v>166</v>
      </c>
      <c r="B5" t="s">
        <v>11</v>
      </c>
      <c r="C5" s="2">
        <v>1257.8399999999999</v>
      </c>
      <c r="D5" s="2">
        <f t="shared" si="0"/>
        <v>1257.8399999999999</v>
      </c>
      <c r="E5" s="2">
        <f t="shared" si="1"/>
        <v>0</v>
      </c>
      <c r="F5" s="2">
        <v>1220.5999999999999</v>
      </c>
      <c r="G5" s="2">
        <v>37.24</v>
      </c>
      <c r="H5" s="2">
        <v>0</v>
      </c>
    </row>
    <row r="6" spans="1:8" x14ac:dyDescent="0.25">
      <c r="A6">
        <v>172</v>
      </c>
      <c r="B6" t="s">
        <v>12</v>
      </c>
      <c r="C6" s="2">
        <v>2786.24</v>
      </c>
      <c r="D6" s="2">
        <f t="shared" si="0"/>
        <v>2786.24</v>
      </c>
      <c r="E6" s="2">
        <f t="shared" si="1"/>
        <v>0</v>
      </c>
      <c r="F6" s="2">
        <v>0</v>
      </c>
      <c r="G6" s="7">
        <v>2786.24</v>
      </c>
      <c r="H6" s="2">
        <v>0</v>
      </c>
    </row>
    <row r="7" spans="1:8" x14ac:dyDescent="0.25">
      <c r="A7">
        <v>128</v>
      </c>
      <c r="B7" t="s">
        <v>13</v>
      </c>
      <c r="C7" s="2">
        <v>4835.37</v>
      </c>
      <c r="D7" s="2">
        <f t="shared" si="0"/>
        <v>4835.33</v>
      </c>
      <c r="E7" s="2">
        <f t="shared" si="1"/>
        <v>3.999999999996362E-2</v>
      </c>
      <c r="F7" s="2">
        <v>0</v>
      </c>
      <c r="G7" s="7">
        <v>4835.33</v>
      </c>
      <c r="H7" s="2">
        <v>0</v>
      </c>
    </row>
    <row r="8" spans="1:8" x14ac:dyDescent="0.25">
      <c r="A8">
        <v>169</v>
      </c>
      <c r="B8" t="s">
        <v>14</v>
      </c>
      <c r="C8" s="2">
        <f>-52.72+612.84</f>
        <v>560.12</v>
      </c>
      <c r="D8" s="2">
        <f t="shared" si="0"/>
        <v>560.08000000000004</v>
      </c>
      <c r="E8" s="2">
        <f t="shared" si="1"/>
        <v>3.999999999996362E-2</v>
      </c>
      <c r="F8" s="2">
        <v>0</v>
      </c>
      <c r="G8" s="8">
        <v>560.08000000000004</v>
      </c>
      <c r="H8" s="2">
        <v>0</v>
      </c>
    </row>
    <row r="9" spans="1:8" x14ac:dyDescent="0.25">
      <c r="A9">
        <v>171</v>
      </c>
      <c r="B9" t="s">
        <v>15</v>
      </c>
      <c r="C9" s="2">
        <v>1493.26</v>
      </c>
      <c r="D9" s="2">
        <f t="shared" si="0"/>
        <v>1493.26</v>
      </c>
      <c r="E9" s="2">
        <f t="shared" si="1"/>
        <v>0</v>
      </c>
      <c r="F9" s="2">
        <v>0</v>
      </c>
      <c r="G9" s="2">
        <v>0</v>
      </c>
      <c r="H9" s="2">
        <f>276.8+620.02+596.44</f>
        <v>1493.26</v>
      </c>
    </row>
    <row r="10" spans="1:8" x14ac:dyDescent="0.25">
      <c r="A10">
        <v>2</v>
      </c>
      <c r="B10" t="s">
        <v>16</v>
      </c>
      <c r="C10" s="2">
        <v>4374.75</v>
      </c>
      <c r="D10" s="2">
        <f t="shared" si="0"/>
        <v>4374.75</v>
      </c>
      <c r="E10" s="2">
        <f t="shared" si="1"/>
        <v>0</v>
      </c>
      <c r="F10" s="2">
        <v>0</v>
      </c>
      <c r="G10" s="7">
        <v>4374.75</v>
      </c>
      <c r="H10" s="2">
        <v>0</v>
      </c>
    </row>
    <row r="11" spans="1:8" x14ac:dyDescent="0.25">
      <c r="A11">
        <v>3</v>
      </c>
      <c r="B11" t="s">
        <v>17</v>
      </c>
      <c r="C11" s="2">
        <v>3110.44</v>
      </c>
      <c r="D11" s="2">
        <f t="shared" si="0"/>
        <v>3110.44</v>
      </c>
      <c r="E11" s="2">
        <f t="shared" si="1"/>
        <v>0</v>
      </c>
      <c r="F11" s="2">
        <v>0</v>
      </c>
      <c r="G11" s="7">
        <v>3110.44</v>
      </c>
      <c r="H11" s="2">
        <v>0</v>
      </c>
    </row>
    <row r="12" spans="1:8" x14ac:dyDescent="0.25">
      <c r="A12">
        <v>1073</v>
      </c>
      <c r="B12" t="s">
        <v>18</v>
      </c>
      <c r="C12" s="2">
        <v>14665.89</v>
      </c>
      <c r="D12" s="2">
        <f t="shared" si="0"/>
        <v>14665.89</v>
      </c>
      <c r="E12" s="2">
        <f t="shared" si="1"/>
        <v>0</v>
      </c>
      <c r="F12" s="2">
        <v>0</v>
      </c>
      <c r="G12" s="2">
        <v>0</v>
      </c>
      <c r="H12" s="2">
        <v>14665.89</v>
      </c>
    </row>
    <row r="13" spans="1:8" x14ac:dyDescent="0.25">
      <c r="A13">
        <v>2780</v>
      </c>
      <c r="B13" t="s">
        <v>19</v>
      </c>
      <c r="C13" s="2">
        <v>387.51</v>
      </c>
      <c r="D13" s="2">
        <f t="shared" si="0"/>
        <v>387.51</v>
      </c>
      <c r="E13" s="2">
        <f t="shared" si="1"/>
        <v>0</v>
      </c>
      <c r="F13" s="2">
        <v>0</v>
      </c>
      <c r="G13" s="8">
        <v>387.51</v>
      </c>
      <c r="H13" s="2">
        <v>0</v>
      </c>
    </row>
    <row r="14" spans="1:8" x14ac:dyDescent="0.25">
      <c r="A14">
        <v>4875</v>
      </c>
      <c r="B14" t="s">
        <v>20</v>
      </c>
      <c r="C14" s="2">
        <f>52.72+4432.95</f>
        <v>4485.67</v>
      </c>
      <c r="D14" s="2">
        <f t="shared" si="0"/>
        <v>4485.67</v>
      </c>
      <c r="E14" s="2">
        <f t="shared" si="1"/>
        <v>0</v>
      </c>
      <c r="F14" s="2">
        <v>4485.67</v>
      </c>
      <c r="G14" s="2">
        <v>0</v>
      </c>
      <c r="H14" s="2">
        <v>0</v>
      </c>
    </row>
    <row r="15" spans="1:8" x14ac:dyDescent="0.25">
      <c r="A15">
        <v>11</v>
      </c>
      <c r="B15" t="s">
        <v>21</v>
      </c>
      <c r="C15" s="2">
        <f>40.27+8335</f>
        <v>8375.27</v>
      </c>
      <c r="D15" s="2">
        <f t="shared" si="0"/>
        <v>8375.2800000000007</v>
      </c>
      <c r="E15" s="2">
        <f t="shared" si="1"/>
        <v>-1.0000000000218279E-2</v>
      </c>
      <c r="F15" s="2">
        <v>0</v>
      </c>
      <c r="G15" s="2">
        <v>0</v>
      </c>
      <c r="H15" s="2">
        <v>8375.2800000000007</v>
      </c>
    </row>
    <row r="16" spans="1:8" x14ac:dyDescent="0.25">
      <c r="A16">
        <v>287</v>
      </c>
      <c r="B16" t="s">
        <v>22</v>
      </c>
      <c r="C16" s="2">
        <v>417.38</v>
      </c>
      <c r="D16" s="2">
        <f t="shared" si="0"/>
        <v>417.36</v>
      </c>
      <c r="E16" s="2">
        <f t="shared" si="1"/>
        <v>1.999999999998181E-2</v>
      </c>
      <c r="F16" s="2">
        <v>0</v>
      </c>
      <c r="G16" s="2">
        <v>0</v>
      </c>
      <c r="H16" s="2">
        <f>266.23+5+100+46.13</f>
        <v>417.36</v>
      </c>
    </row>
    <row r="17" spans="1:8" x14ac:dyDescent="0.25">
      <c r="A17">
        <v>3903</v>
      </c>
      <c r="B17" t="s">
        <v>23</v>
      </c>
      <c r="C17" s="2">
        <v>127.8</v>
      </c>
      <c r="D17" s="2">
        <f t="shared" si="0"/>
        <v>127.82</v>
      </c>
      <c r="E17" s="2">
        <f t="shared" si="1"/>
        <v>-1.9999999999996021E-2</v>
      </c>
      <c r="F17" s="2">
        <v>0</v>
      </c>
      <c r="G17" s="2">
        <v>0</v>
      </c>
      <c r="H17" s="2">
        <v>127.82</v>
      </c>
    </row>
    <row r="18" spans="1:8" x14ac:dyDescent="0.25">
      <c r="C18" s="3">
        <f>SUBTOTAL(109,Tabela1[val_duplicata])</f>
        <v>50664.549999999996</v>
      </c>
      <c r="D18" s="3" t="s">
        <v>56</v>
      </c>
    </row>
    <row r="19" spans="1:8" x14ac:dyDescent="0.25">
      <c r="C19" s="3">
        <v>6762</v>
      </c>
      <c r="D19" s="3" t="s">
        <v>57</v>
      </c>
    </row>
    <row r="20" spans="1:8" x14ac:dyDescent="0.25">
      <c r="C20" s="3">
        <v>214.63</v>
      </c>
      <c r="D20" s="3" t="s">
        <v>58</v>
      </c>
    </row>
    <row r="21" spans="1:8" x14ac:dyDescent="0.25">
      <c r="C21" s="3">
        <v>16801.52</v>
      </c>
      <c r="D21" s="3" t="s">
        <v>59</v>
      </c>
    </row>
    <row r="22" spans="1:8" x14ac:dyDescent="0.25">
      <c r="C22" s="3">
        <v>0</v>
      </c>
      <c r="D22" s="3" t="s">
        <v>60</v>
      </c>
    </row>
    <row r="23" spans="1:8" x14ac:dyDescent="0.25">
      <c r="C23" s="4">
        <f>SUM(C18:C22)</f>
        <v>74442.7</v>
      </c>
      <c r="D23" s="4" t="s">
        <v>61</v>
      </c>
    </row>
    <row r="24" spans="1:8" x14ac:dyDescent="0.25">
      <c r="C24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5107-1C95-49DB-9776-A6F51C3DF110}">
  <dimension ref="A1:J34"/>
  <sheetViews>
    <sheetView topLeftCell="A12" workbookViewId="0">
      <selection activeCell="G27" sqref="G27:G28"/>
    </sheetView>
  </sheetViews>
  <sheetFormatPr defaultRowHeight="15" x14ac:dyDescent="0.25"/>
  <cols>
    <col min="1" max="1" width="16" bestFit="1" customWidth="1"/>
    <col min="3" max="3" width="70" bestFit="1" customWidth="1"/>
  </cols>
  <sheetData>
    <row r="1" spans="1:10" x14ac:dyDescent="0.25">
      <c r="A1" t="s">
        <v>121</v>
      </c>
      <c r="B1" t="s">
        <v>122</v>
      </c>
      <c r="C1" t="s">
        <v>73</v>
      </c>
      <c r="D1" t="s">
        <v>123</v>
      </c>
      <c r="E1" t="s">
        <v>124</v>
      </c>
      <c r="F1" t="s">
        <v>125</v>
      </c>
      <c r="H1" t="s">
        <v>55</v>
      </c>
      <c r="I1" t="s">
        <v>1</v>
      </c>
      <c r="J1" t="s">
        <v>32</v>
      </c>
    </row>
    <row r="2" spans="1:10" x14ac:dyDescent="0.25">
      <c r="A2" t="s">
        <v>184</v>
      </c>
      <c r="B2" s="9">
        <v>46079.342187499999</v>
      </c>
      <c r="C2" t="s">
        <v>147</v>
      </c>
      <c r="D2" t="s">
        <v>127</v>
      </c>
      <c r="E2" t="s">
        <v>148</v>
      </c>
      <c r="F2">
        <v>11.47</v>
      </c>
      <c r="G2">
        <f>F2-H2</f>
        <v>0</v>
      </c>
      <c r="H2">
        <v>11.47</v>
      </c>
      <c r="I2" t="s">
        <v>30</v>
      </c>
      <c r="J2" t="s">
        <v>35</v>
      </c>
    </row>
    <row r="3" spans="1:10" x14ac:dyDescent="0.25">
      <c r="A3" t="s">
        <v>176</v>
      </c>
      <c r="B3" s="9">
        <v>46079.245671296296</v>
      </c>
      <c r="C3" t="s">
        <v>134</v>
      </c>
      <c r="D3" t="s">
        <v>127</v>
      </c>
      <c r="E3" t="s">
        <v>135</v>
      </c>
      <c r="F3">
        <v>30.05</v>
      </c>
      <c r="G3">
        <f t="shared" ref="G3:G32" si="0">F3-H3</f>
        <v>0</v>
      </c>
      <c r="H3">
        <v>30.05</v>
      </c>
      <c r="I3" t="s">
        <v>28</v>
      </c>
      <c r="J3" t="s">
        <v>35</v>
      </c>
    </row>
    <row r="4" spans="1:10" x14ac:dyDescent="0.25">
      <c r="A4" t="s">
        <v>200</v>
      </c>
      <c r="B4" s="9">
        <v>46079.775312500002</v>
      </c>
      <c r="C4" t="s">
        <v>143</v>
      </c>
      <c r="D4" t="s">
        <v>127</v>
      </c>
      <c r="E4" t="s">
        <v>169</v>
      </c>
      <c r="F4">
        <v>54.86</v>
      </c>
      <c r="G4">
        <f t="shared" si="0"/>
        <v>9.9999999999980105E-3</v>
      </c>
      <c r="H4">
        <v>54.85</v>
      </c>
      <c r="I4" t="s">
        <v>25</v>
      </c>
      <c r="J4" t="s">
        <v>35</v>
      </c>
    </row>
    <row r="5" spans="1:10" x14ac:dyDescent="0.25">
      <c r="A5" t="s">
        <v>182</v>
      </c>
      <c r="B5" s="9">
        <v>46079.332314814812</v>
      </c>
      <c r="C5" t="s">
        <v>143</v>
      </c>
      <c r="D5" t="s">
        <v>127</v>
      </c>
      <c r="E5" t="s">
        <v>144</v>
      </c>
      <c r="F5">
        <v>59</v>
      </c>
      <c r="G5">
        <f t="shared" si="0"/>
        <v>0</v>
      </c>
      <c r="H5">
        <v>59</v>
      </c>
      <c r="I5" t="s">
        <v>31</v>
      </c>
      <c r="J5" t="s">
        <v>35</v>
      </c>
    </row>
    <row r="6" spans="1:10" x14ac:dyDescent="0.25">
      <c r="A6" t="s">
        <v>178</v>
      </c>
      <c r="B6" s="9">
        <v>46079.305486111109</v>
      </c>
      <c r="C6" t="s">
        <v>134</v>
      </c>
      <c r="D6" t="s">
        <v>127</v>
      </c>
      <c r="E6" t="s">
        <v>138</v>
      </c>
      <c r="F6">
        <v>65.05</v>
      </c>
      <c r="G6">
        <f t="shared" si="0"/>
        <v>9.9999999999909051E-3</v>
      </c>
      <c r="H6">
        <v>65.040000000000006</v>
      </c>
      <c r="I6" t="s">
        <v>30</v>
      </c>
      <c r="J6" t="s">
        <v>35</v>
      </c>
    </row>
    <row r="7" spans="1:10" x14ac:dyDescent="0.25">
      <c r="A7" t="s">
        <v>195</v>
      </c>
      <c r="B7" s="9">
        <v>46079.663831018515</v>
      </c>
      <c r="C7" t="s">
        <v>162</v>
      </c>
      <c r="D7" t="s">
        <v>163</v>
      </c>
      <c r="E7" t="s">
        <v>163</v>
      </c>
      <c r="F7">
        <v>70</v>
      </c>
      <c r="G7">
        <f t="shared" si="0"/>
        <v>0</v>
      </c>
      <c r="H7">
        <v>70</v>
      </c>
      <c r="I7" t="s">
        <v>25</v>
      </c>
      <c r="J7" t="s">
        <v>35</v>
      </c>
    </row>
    <row r="8" spans="1:10" x14ac:dyDescent="0.25">
      <c r="A8" t="s">
        <v>201</v>
      </c>
      <c r="B8" s="9">
        <v>46079.849826388891</v>
      </c>
      <c r="C8" t="s">
        <v>143</v>
      </c>
      <c r="D8" t="s">
        <v>127</v>
      </c>
      <c r="E8" t="s">
        <v>170</v>
      </c>
      <c r="F8">
        <v>80</v>
      </c>
      <c r="G8">
        <f t="shared" si="0"/>
        <v>0</v>
      </c>
      <c r="H8">
        <v>80</v>
      </c>
      <c r="I8" t="s">
        <v>29</v>
      </c>
      <c r="J8" t="s">
        <v>35</v>
      </c>
    </row>
    <row r="9" spans="1:10" x14ac:dyDescent="0.25">
      <c r="A9" t="s">
        <v>192</v>
      </c>
      <c r="B9" s="9">
        <v>46079.644270833334</v>
      </c>
      <c r="C9" t="s">
        <v>134</v>
      </c>
      <c r="D9" t="s">
        <v>127</v>
      </c>
      <c r="E9" t="s">
        <v>160</v>
      </c>
      <c r="F9">
        <v>86.5</v>
      </c>
      <c r="G9">
        <f t="shared" si="0"/>
        <v>0</v>
      </c>
      <c r="H9">
        <v>86.5</v>
      </c>
      <c r="I9" t="s">
        <v>27</v>
      </c>
      <c r="J9" t="s">
        <v>35</v>
      </c>
    </row>
    <row r="10" spans="1:10" x14ac:dyDescent="0.25">
      <c r="A10" t="s">
        <v>183</v>
      </c>
      <c r="B10" s="9">
        <v>46079.333298611113</v>
      </c>
      <c r="C10" t="s">
        <v>145</v>
      </c>
      <c r="D10" t="s">
        <v>127</v>
      </c>
      <c r="E10" t="s">
        <v>146</v>
      </c>
      <c r="F10">
        <v>89.42</v>
      </c>
      <c r="G10">
        <f t="shared" si="0"/>
        <v>1.0000000000005116E-2</v>
      </c>
      <c r="H10">
        <v>89.41</v>
      </c>
      <c r="I10" t="s">
        <v>30</v>
      </c>
      <c r="J10" t="s">
        <v>35</v>
      </c>
    </row>
    <row r="11" spans="1:10" x14ac:dyDescent="0.25">
      <c r="A11" t="s">
        <v>177</v>
      </c>
      <c r="B11" s="9">
        <v>46079.291192129633</v>
      </c>
      <c r="C11" t="s">
        <v>136</v>
      </c>
      <c r="D11" t="s">
        <v>130</v>
      </c>
      <c r="E11" t="s">
        <v>137</v>
      </c>
      <c r="F11">
        <v>90</v>
      </c>
      <c r="G11">
        <f t="shared" si="0"/>
        <v>0</v>
      </c>
      <c r="H11">
        <v>90</v>
      </c>
      <c r="I11" t="s">
        <v>26</v>
      </c>
      <c r="J11" t="s">
        <v>35</v>
      </c>
    </row>
    <row r="12" spans="1:10" x14ac:dyDescent="0.25">
      <c r="A12" t="s">
        <v>194</v>
      </c>
      <c r="B12" s="9">
        <v>46079.662905092591</v>
      </c>
      <c r="C12" t="s">
        <v>134</v>
      </c>
      <c r="D12" t="s">
        <v>127</v>
      </c>
      <c r="E12" t="s">
        <v>161</v>
      </c>
      <c r="F12">
        <v>95.32</v>
      </c>
      <c r="G12">
        <f t="shared" si="0"/>
        <v>9.9999999999909051E-3</v>
      </c>
      <c r="H12">
        <v>95.31</v>
      </c>
      <c r="I12" t="s">
        <v>26</v>
      </c>
      <c r="J12" t="s">
        <v>35</v>
      </c>
    </row>
    <row r="13" spans="1:10" x14ac:dyDescent="0.25">
      <c r="A13" t="s">
        <v>175</v>
      </c>
      <c r="B13" s="9">
        <v>46079.148310185185</v>
      </c>
      <c r="C13" t="s">
        <v>129</v>
      </c>
      <c r="D13" t="s">
        <v>132</v>
      </c>
      <c r="E13" t="s">
        <v>133</v>
      </c>
      <c r="F13">
        <v>107.2</v>
      </c>
      <c r="G13">
        <f t="shared" si="0"/>
        <v>-4.9999999999997158E-2</v>
      </c>
      <c r="H13">
        <v>107.25</v>
      </c>
      <c r="I13" t="s">
        <v>24</v>
      </c>
      <c r="J13" t="s">
        <v>35</v>
      </c>
    </row>
    <row r="14" spans="1:10" x14ac:dyDescent="0.25">
      <c r="A14" t="s">
        <v>193</v>
      </c>
      <c r="B14" s="9">
        <v>46079.649687500001</v>
      </c>
      <c r="C14" t="s">
        <v>129</v>
      </c>
      <c r="D14" t="s">
        <v>132</v>
      </c>
      <c r="E14" t="s">
        <v>133</v>
      </c>
      <c r="F14">
        <v>107.2</v>
      </c>
      <c r="G14">
        <f t="shared" si="0"/>
        <v>-4.9999999999997158E-2</v>
      </c>
      <c r="H14">
        <v>107.25</v>
      </c>
      <c r="I14" t="s">
        <v>24</v>
      </c>
      <c r="J14" t="s">
        <v>35</v>
      </c>
    </row>
    <row r="15" spans="1:10" x14ac:dyDescent="0.25">
      <c r="A15" t="s">
        <v>197</v>
      </c>
      <c r="B15" s="9">
        <v>46079.694733796299</v>
      </c>
      <c r="C15" t="s">
        <v>143</v>
      </c>
      <c r="D15" t="s">
        <v>127</v>
      </c>
      <c r="E15" t="s">
        <v>166</v>
      </c>
      <c r="F15">
        <v>148.87</v>
      </c>
      <c r="G15">
        <f t="shared" si="0"/>
        <v>9.9999999999909051E-3</v>
      </c>
      <c r="H15">
        <v>148.86000000000001</v>
      </c>
      <c r="I15" t="s">
        <v>26</v>
      </c>
      <c r="J15" t="s">
        <v>35</v>
      </c>
    </row>
    <row r="16" spans="1:10" x14ac:dyDescent="0.25">
      <c r="A16" t="s">
        <v>189</v>
      </c>
      <c r="B16" s="9">
        <v>46079.594201388885</v>
      </c>
      <c r="C16" t="s">
        <v>154</v>
      </c>
      <c r="D16" t="s">
        <v>152</v>
      </c>
      <c r="E16" t="s">
        <v>156</v>
      </c>
      <c r="F16">
        <v>164.64</v>
      </c>
      <c r="G16">
        <f t="shared" si="0"/>
        <v>9.9999999999909051E-3</v>
      </c>
      <c r="H16">
        <v>164.63</v>
      </c>
      <c r="I16" t="s">
        <v>28</v>
      </c>
      <c r="J16" t="s">
        <v>35</v>
      </c>
    </row>
    <row r="17" spans="1:10" x14ac:dyDescent="0.25">
      <c r="A17" t="s">
        <v>187</v>
      </c>
      <c r="B17" s="9">
        <v>46079.517893518518</v>
      </c>
      <c r="C17" t="s">
        <v>151</v>
      </c>
      <c r="D17" t="s">
        <v>152</v>
      </c>
      <c r="E17" t="s">
        <v>153</v>
      </c>
      <c r="F17">
        <v>164.73</v>
      </c>
      <c r="G17">
        <f t="shared" si="0"/>
        <v>9.9999999999909051E-3</v>
      </c>
      <c r="H17">
        <v>164.72</v>
      </c>
      <c r="I17" t="s">
        <v>25</v>
      </c>
      <c r="J17" t="s">
        <v>35</v>
      </c>
    </row>
    <row r="18" spans="1:10" x14ac:dyDescent="0.25">
      <c r="A18" t="s">
        <v>198</v>
      </c>
      <c r="B18" s="9">
        <v>46079.715624999997</v>
      </c>
      <c r="C18" t="s">
        <v>154</v>
      </c>
      <c r="D18" t="s">
        <v>152</v>
      </c>
      <c r="E18" t="s">
        <v>167</v>
      </c>
      <c r="F18">
        <v>179.09</v>
      </c>
      <c r="G18">
        <f t="shared" si="0"/>
        <v>9.9999999999909051E-3</v>
      </c>
      <c r="H18">
        <v>179.08</v>
      </c>
      <c r="I18" t="s">
        <v>26</v>
      </c>
      <c r="J18" t="s">
        <v>35</v>
      </c>
    </row>
    <row r="19" spans="1:10" x14ac:dyDescent="0.25">
      <c r="A19" t="s">
        <v>199</v>
      </c>
      <c r="B19" s="9">
        <v>46079.739016203705</v>
      </c>
      <c r="C19" t="s">
        <v>154</v>
      </c>
      <c r="D19" t="s">
        <v>152</v>
      </c>
      <c r="E19" t="s">
        <v>168</v>
      </c>
      <c r="F19">
        <v>211.25</v>
      </c>
      <c r="G19">
        <f t="shared" si="0"/>
        <v>0</v>
      </c>
      <c r="H19">
        <v>211.25</v>
      </c>
      <c r="I19" t="s">
        <v>30</v>
      </c>
      <c r="J19" t="s">
        <v>35</v>
      </c>
    </row>
    <row r="20" spans="1:10" x14ac:dyDescent="0.25">
      <c r="A20" t="s">
        <v>188</v>
      </c>
      <c r="B20" s="9">
        <v>46079.592673611114</v>
      </c>
      <c r="C20" t="s">
        <v>154</v>
      </c>
      <c r="D20" t="s">
        <v>152</v>
      </c>
      <c r="E20" t="s">
        <v>155</v>
      </c>
      <c r="F20">
        <v>213.41</v>
      </c>
      <c r="G20">
        <f t="shared" si="0"/>
        <v>9.9999999999909051E-3</v>
      </c>
      <c r="H20">
        <v>213.4</v>
      </c>
      <c r="I20" t="s">
        <v>27</v>
      </c>
      <c r="J20" t="s">
        <v>35</v>
      </c>
    </row>
    <row r="21" spans="1:10" x14ac:dyDescent="0.25">
      <c r="A21" t="s">
        <v>180</v>
      </c>
      <c r="B21" s="9">
        <v>46079.317824074074</v>
      </c>
      <c r="C21" t="s">
        <v>139</v>
      </c>
      <c r="D21" t="s">
        <v>127</v>
      </c>
      <c r="E21" t="s">
        <v>141</v>
      </c>
      <c r="F21">
        <v>219.51</v>
      </c>
      <c r="G21">
        <f t="shared" si="0"/>
        <v>0</v>
      </c>
      <c r="H21">
        <v>219.51</v>
      </c>
      <c r="I21" t="s">
        <v>26</v>
      </c>
      <c r="J21" t="s">
        <v>35</v>
      </c>
    </row>
    <row r="22" spans="1:10" x14ac:dyDescent="0.25">
      <c r="A22" t="s">
        <v>202</v>
      </c>
      <c r="B22" s="9">
        <v>46079.922164351854</v>
      </c>
      <c r="C22" t="s">
        <v>171</v>
      </c>
      <c r="D22" t="s">
        <v>130</v>
      </c>
      <c r="E22" t="s">
        <v>172</v>
      </c>
      <c r="F22">
        <v>235.27</v>
      </c>
      <c r="G22">
        <f t="shared" si="0"/>
        <v>1.0000000000019327E-2</v>
      </c>
      <c r="H22">
        <v>235.26</v>
      </c>
      <c r="I22" t="s">
        <v>27</v>
      </c>
      <c r="J22" t="s">
        <v>35</v>
      </c>
    </row>
    <row r="23" spans="1:10" x14ac:dyDescent="0.25">
      <c r="A23" t="s">
        <v>179</v>
      </c>
      <c r="B23" s="9">
        <v>46079.316678240742</v>
      </c>
      <c r="C23" t="s">
        <v>139</v>
      </c>
      <c r="D23" t="s">
        <v>127</v>
      </c>
      <c r="E23" t="s">
        <v>140</v>
      </c>
      <c r="F23">
        <v>247.53</v>
      </c>
      <c r="G23">
        <f t="shared" si="0"/>
        <v>9.9999999999909051E-3</v>
      </c>
      <c r="H23">
        <v>247.52</v>
      </c>
      <c r="I23" t="s">
        <v>30</v>
      </c>
      <c r="J23" t="s">
        <v>35</v>
      </c>
    </row>
    <row r="24" spans="1:10" x14ac:dyDescent="0.25">
      <c r="A24" t="s">
        <v>181</v>
      </c>
      <c r="B24" s="9">
        <v>46079.319236111114</v>
      </c>
      <c r="C24" t="s">
        <v>139</v>
      </c>
      <c r="D24" t="s">
        <v>127</v>
      </c>
      <c r="E24" t="s">
        <v>142</v>
      </c>
      <c r="F24">
        <v>285.66000000000003</v>
      </c>
      <c r="G24">
        <f t="shared" si="0"/>
        <v>0</v>
      </c>
      <c r="H24">
        <v>285.66000000000003</v>
      </c>
      <c r="I24" t="s">
        <v>26</v>
      </c>
      <c r="J24" t="s">
        <v>35</v>
      </c>
    </row>
    <row r="25" spans="1:10" x14ac:dyDescent="0.25">
      <c r="A25" t="s">
        <v>196</v>
      </c>
      <c r="B25" s="9">
        <v>46079.691712962966</v>
      </c>
      <c r="C25" t="s">
        <v>164</v>
      </c>
      <c r="D25" t="s">
        <v>127</v>
      </c>
      <c r="E25" t="s">
        <v>165</v>
      </c>
      <c r="F25">
        <v>287.08</v>
      </c>
      <c r="G25">
        <f t="shared" si="0"/>
        <v>0</v>
      </c>
      <c r="H25">
        <v>287.08</v>
      </c>
      <c r="I25" t="s">
        <v>25</v>
      </c>
      <c r="J25" t="s">
        <v>35</v>
      </c>
    </row>
    <row r="26" spans="1:10" x14ac:dyDescent="0.25">
      <c r="A26" t="s">
        <v>173</v>
      </c>
      <c r="B26" s="9">
        <v>46079.070625</v>
      </c>
      <c r="C26" t="s">
        <v>126</v>
      </c>
      <c r="D26" t="s">
        <v>127</v>
      </c>
      <c r="E26" t="s">
        <v>128</v>
      </c>
      <c r="F26">
        <v>289.72000000000003</v>
      </c>
      <c r="G26">
        <f t="shared" si="0"/>
        <v>0</v>
      </c>
      <c r="H26">
        <v>289.72000000000003</v>
      </c>
      <c r="I26" t="s">
        <v>24</v>
      </c>
      <c r="J26" t="s">
        <v>35</v>
      </c>
    </row>
    <row r="27" spans="1:10" x14ac:dyDescent="0.25">
      <c r="B27" s="9"/>
      <c r="G27">
        <f t="shared" si="0"/>
        <v>-255.6</v>
      </c>
      <c r="H27">
        <v>255.6</v>
      </c>
      <c r="I27" t="s">
        <v>26</v>
      </c>
      <c r="J27" t="s">
        <v>35</v>
      </c>
    </row>
    <row r="28" spans="1:10" x14ac:dyDescent="0.25">
      <c r="A28" t="s">
        <v>186</v>
      </c>
      <c r="B28" s="9">
        <v>46079.409513888888</v>
      </c>
      <c r="C28" t="s">
        <v>143</v>
      </c>
      <c r="D28" t="s">
        <v>127</v>
      </c>
      <c r="E28" t="s">
        <v>150</v>
      </c>
      <c r="F28">
        <v>295.88</v>
      </c>
      <c r="G28">
        <f t="shared" si="0"/>
        <v>295.88</v>
      </c>
    </row>
    <row r="29" spans="1:10" x14ac:dyDescent="0.25">
      <c r="A29" t="s">
        <v>191</v>
      </c>
      <c r="B29" s="9">
        <v>46079.639641203707</v>
      </c>
      <c r="C29" t="s">
        <v>129</v>
      </c>
      <c r="D29" t="s">
        <v>130</v>
      </c>
      <c r="E29" t="s">
        <v>159</v>
      </c>
      <c r="F29">
        <v>648.20000000000005</v>
      </c>
      <c r="G29">
        <f t="shared" si="0"/>
        <v>0</v>
      </c>
      <c r="H29">
        <v>648.20000000000005</v>
      </c>
      <c r="I29" t="s">
        <v>26</v>
      </c>
      <c r="J29" t="s">
        <v>35</v>
      </c>
    </row>
    <row r="30" spans="1:10" x14ac:dyDescent="0.25">
      <c r="A30" t="s">
        <v>190</v>
      </c>
      <c r="B30" s="9">
        <v>46079.611759259256</v>
      </c>
      <c r="C30" t="s">
        <v>157</v>
      </c>
      <c r="D30" t="s">
        <v>130</v>
      </c>
      <c r="E30" t="s">
        <v>158</v>
      </c>
      <c r="F30">
        <v>786.44</v>
      </c>
      <c r="G30">
        <f t="shared" si="0"/>
        <v>-9.9999999999909051E-3</v>
      </c>
      <c r="H30">
        <v>786.45</v>
      </c>
      <c r="I30" t="s">
        <v>26</v>
      </c>
      <c r="J30" t="s">
        <v>35</v>
      </c>
    </row>
    <row r="31" spans="1:10" x14ac:dyDescent="0.25">
      <c r="A31" t="s">
        <v>185</v>
      </c>
      <c r="B31" s="9">
        <v>46079.406030092592</v>
      </c>
      <c r="C31" t="s">
        <v>136</v>
      </c>
      <c r="D31" t="s">
        <v>130</v>
      </c>
      <c r="E31" t="s">
        <v>149</v>
      </c>
      <c r="F31" s="5">
        <v>1036.9100000000001</v>
      </c>
      <c r="G31">
        <f t="shared" si="0"/>
        <v>0</v>
      </c>
      <c r="H31">
        <v>1036.9100000000001</v>
      </c>
      <c r="I31" t="s">
        <v>28</v>
      </c>
      <c r="J31" t="s">
        <v>35</v>
      </c>
    </row>
    <row r="32" spans="1:10" x14ac:dyDescent="0.25">
      <c r="A32" t="s">
        <v>174</v>
      </c>
      <c r="B32" s="9">
        <v>46079.14770833333</v>
      </c>
      <c r="C32" t="s">
        <v>129</v>
      </c>
      <c r="D32" t="s">
        <v>130</v>
      </c>
      <c r="E32" t="s">
        <v>131</v>
      </c>
      <c r="F32" s="5">
        <v>2015.02</v>
      </c>
      <c r="G32">
        <f t="shared" si="0"/>
        <v>0</v>
      </c>
      <c r="H32">
        <v>2015.02</v>
      </c>
      <c r="I32" t="s">
        <v>24</v>
      </c>
      <c r="J32" t="s">
        <v>35</v>
      </c>
    </row>
    <row r="33" spans="6:6" x14ac:dyDescent="0.25">
      <c r="F33" s="5">
        <v>8375.2800000000007</v>
      </c>
    </row>
    <row r="34" spans="6:6" x14ac:dyDescent="0.25">
      <c r="F34" s="5">
        <v>8375.2800000000007</v>
      </c>
    </row>
  </sheetData>
  <sortState xmlns:xlrd2="http://schemas.microsoft.com/office/spreadsheetml/2017/richdata2" ref="A2:F34">
    <sortCondition ref="F3:F34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05E4-6247-4110-AB6F-1AB6056DB6B9}">
  <dimension ref="A1:L22"/>
  <sheetViews>
    <sheetView topLeftCell="A3" workbookViewId="0">
      <selection activeCell="C22" sqref="C22"/>
    </sheetView>
  </sheetViews>
  <sheetFormatPr defaultRowHeight="15" x14ac:dyDescent="0.25"/>
  <sheetData>
    <row r="1" spans="1:12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</row>
    <row r="2" spans="1:12" x14ac:dyDescent="0.25">
      <c r="A2">
        <v>4268521</v>
      </c>
      <c r="B2" t="s">
        <v>74</v>
      </c>
      <c r="C2">
        <v>32.479999999999997</v>
      </c>
      <c r="D2" t="s">
        <v>75</v>
      </c>
      <c r="G2" s="6">
        <v>46079</v>
      </c>
      <c r="H2" s="6">
        <v>46079</v>
      </c>
      <c r="I2" t="s">
        <v>76</v>
      </c>
      <c r="J2" t="s">
        <v>77</v>
      </c>
      <c r="K2">
        <v>14608</v>
      </c>
      <c r="L2" t="s">
        <v>78</v>
      </c>
    </row>
    <row r="3" spans="1:12" x14ac:dyDescent="0.25">
      <c r="A3">
        <v>4268911</v>
      </c>
      <c r="B3" t="s">
        <v>113</v>
      </c>
      <c r="C3">
        <v>55.55</v>
      </c>
      <c r="D3" t="s">
        <v>75</v>
      </c>
      <c r="E3" t="s">
        <v>114</v>
      </c>
      <c r="G3" s="6">
        <v>46079</v>
      </c>
      <c r="H3" s="6">
        <v>46079</v>
      </c>
      <c r="I3" t="s">
        <v>76</v>
      </c>
      <c r="J3" t="s">
        <v>86</v>
      </c>
      <c r="K3">
        <v>14612</v>
      </c>
      <c r="L3" t="s">
        <v>78</v>
      </c>
    </row>
    <row r="4" spans="1:12" x14ac:dyDescent="0.25">
      <c r="A4">
        <v>4268516</v>
      </c>
      <c r="B4" t="s">
        <v>111</v>
      </c>
      <c r="C4">
        <v>165.84</v>
      </c>
      <c r="D4" t="s">
        <v>75</v>
      </c>
      <c r="E4" t="s">
        <v>112</v>
      </c>
      <c r="G4" s="6">
        <v>46079</v>
      </c>
      <c r="H4" s="6">
        <v>46079</v>
      </c>
      <c r="I4" t="s">
        <v>76</v>
      </c>
      <c r="J4" t="s">
        <v>77</v>
      </c>
      <c r="K4">
        <v>14608</v>
      </c>
      <c r="L4" t="s">
        <v>78</v>
      </c>
    </row>
    <row r="5" spans="1:12" x14ac:dyDescent="0.25">
      <c r="A5">
        <v>4268695</v>
      </c>
      <c r="B5" t="s">
        <v>79</v>
      </c>
      <c r="C5">
        <v>276.33999999999997</v>
      </c>
      <c r="D5" t="s">
        <v>75</v>
      </c>
      <c r="E5" t="s">
        <v>80</v>
      </c>
      <c r="G5" s="6">
        <v>46079</v>
      </c>
      <c r="H5" s="6">
        <v>46079</v>
      </c>
      <c r="I5" t="s">
        <v>76</v>
      </c>
      <c r="J5" t="s">
        <v>77</v>
      </c>
      <c r="K5">
        <v>14610</v>
      </c>
      <c r="L5" t="s">
        <v>78</v>
      </c>
    </row>
    <row r="6" spans="1:12" x14ac:dyDescent="0.25">
      <c r="A6">
        <v>4269115</v>
      </c>
      <c r="B6" t="s">
        <v>84</v>
      </c>
      <c r="C6">
        <v>306.52999999999997</v>
      </c>
      <c r="D6" t="s">
        <v>75</v>
      </c>
      <c r="E6" t="s">
        <v>85</v>
      </c>
      <c r="G6" s="6">
        <v>46079</v>
      </c>
      <c r="H6" s="6">
        <v>46079</v>
      </c>
      <c r="I6" t="s">
        <v>76</v>
      </c>
      <c r="J6" t="s">
        <v>86</v>
      </c>
      <c r="K6">
        <v>14613</v>
      </c>
      <c r="L6" t="s">
        <v>87</v>
      </c>
    </row>
    <row r="7" spans="1:12" x14ac:dyDescent="0.25">
      <c r="A7">
        <v>4268472</v>
      </c>
      <c r="B7" t="s">
        <v>117</v>
      </c>
      <c r="C7">
        <v>358.03</v>
      </c>
      <c r="D7" t="s">
        <v>75</v>
      </c>
      <c r="E7" t="s">
        <v>118</v>
      </c>
      <c r="G7" s="6">
        <v>46079</v>
      </c>
      <c r="H7" s="6">
        <v>46079</v>
      </c>
      <c r="I7" t="s">
        <v>76</v>
      </c>
      <c r="J7" t="s">
        <v>77</v>
      </c>
      <c r="K7">
        <v>14608</v>
      </c>
      <c r="L7" t="s">
        <v>87</v>
      </c>
    </row>
    <row r="8" spans="1:12" x14ac:dyDescent="0.25">
      <c r="A8">
        <v>4267724</v>
      </c>
      <c r="B8" t="s">
        <v>81</v>
      </c>
      <c r="C8">
        <v>400</v>
      </c>
      <c r="D8" t="s">
        <v>75</v>
      </c>
      <c r="E8" t="s">
        <v>82</v>
      </c>
      <c r="G8" s="6">
        <v>46079</v>
      </c>
      <c r="H8" s="6">
        <v>46079</v>
      </c>
      <c r="I8" t="s">
        <v>76</v>
      </c>
      <c r="J8" t="s">
        <v>77</v>
      </c>
      <c r="K8">
        <v>14610</v>
      </c>
      <c r="L8" t="s">
        <v>83</v>
      </c>
    </row>
    <row r="9" spans="1:12" x14ac:dyDescent="0.25">
      <c r="A9">
        <v>4268496</v>
      </c>
      <c r="B9" t="s">
        <v>100</v>
      </c>
      <c r="C9">
        <v>538.82000000000005</v>
      </c>
      <c r="D9" t="s">
        <v>75</v>
      </c>
      <c r="E9" t="s">
        <v>101</v>
      </c>
      <c r="G9" s="6">
        <v>46079</v>
      </c>
      <c r="H9" s="6">
        <v>46079</v>
      </c>
      <c r="I9" t="s">
        <v>76</v>
      </c>
      <c r="J9" t="s">
        <v>77</v>
      </c>
      <c r="K9">
        <v>14605</v>
      </c>
      <c r="L9" t="s">
        <v>87</v>
      </c>
    </row>
    <row r="10" spans="1:12" x14ac:dyDescent="0.25">
      <c r="A10">
        <v>4267625</v>
      </c>
      <c r="B10" t="s">
        <v>104</v>
      </c>
      <c r="C10">
        <v>540.48</v>
      </c>
      <c r="D10" t="s">
        <v>75</v>
      </c>
      <c r="G10" s="6">
        <v>46079</v>
      </c>
      <c r="H10" s="6">
        <v>46079</v>
      </c>
      <c r="I10" t="s">
        <v>76</v>
      </c>
      <c r="J10" t="s">
        <v>77</v>
      </c>
      <c r="K10">
        <v>14605</v>
      </c>
      <c r="L10" t="s">
        <v>78</v>
      </c>
    </row>
    <row r="11" spans="1:12" x14ac:dyDescent="0.25">
      <c r="A11">
        <v>4267711</v>
      </c>
      <c r="B11" t="s">
        <v>94</v>
      </c>
      <c r="C11">
        <v>550.77</v>
      </c>
      <c r="D11" t="s">
        <v>75</v>
      </c>
      <c r="E11" t="s">
        <v>95</v>
      </c>
      <c r="G11" s="6">
        <v>46079</v>
      </c>
      <c r="H11" s="6">
        <v>46079</v>
      </c>
      <c r="I11" t="s">
        <v>76</v>
      </c>
      <c r="J11" t="s">
        <v>77</v>
      </c>
      <c r="K11">
        <v>14606</v>
      </c>
      <c r="L11" t="s">
        <v>87</v>
      </c>
    </row>
    <row r="12" spans="1:12" x14ac:dyDescent="0.25">
      <c r="A12">
        <v>4267573</v>
      </c>
      <c r="B12" t="s">
        <v>91</v>
      </c>
      <c r="C12">
        <v>589.48</v>
      </c>
      <c r="D12" t="s">
        <v>75</v>
      </c>
      <c r="E12" t="s">
        <v>92</v>
      </c>
      <c r="G12" s="6">
        <v>46079</v>
      </c>
      <c r="H12" s="6">
        <v>46079</v>
      </c>
      <c r="I12" t="s">
        <v>76</v>
      </c>
      <c r="J12" t="s">
        <v>77</v>
      </c>
      <c r="K12">
        <v>14608</v>
      </c>
      <c r="L12" t="s">
        <v>93</v>
      </c>
    </row>
    <row r="13" spans="1:12" x14ac:dyDescent="0.25">
      <c r="A13">
        <v>4268426</v>
      </c>
      <c r="B13" t="s">
        <v>107</v>
      </c>
      <c r="C13">
        <v>612.08000000000004</v>
      </c>
      <c r="D13" t="s">
        <v>75</v>
      </c>
      <c r="G13" s="6">
        <v>46079</v>
      </c>
      <c r="H13" s="6">
        <v>46079</v>
      </c>
      <c r="I13" t="s">
        <v>76</v>
      </c>
      <c r="J13" t="s">
        <v>77</v>
      </c>
      <c r="K13">
        <v>14608</v>
      </c>
      <c r="L13" t="s">
        <v>108</v>
      </c>
    </row>
    <row r="14" spans="1:12" x14ac:dyDescent="0.25">
      <c r="A14">
        <v>4267623</v>
      </c>
      <c r="B14" t="s">
        <v>98</v>
      </c>
      <c r="C14">
        <v>728.51</v>
      </c>
      <c r="D14" t="s">
        <v>75</v>
      </c>
      <c r="E14" t="s">
        <v>99</v>
      </c>
      <c r="G14" s="6">
        <v>46079</v>
      </c>
      <c r="H14" s="6">
        <v>46079</v>
      </c>
      <c r="I14" t="s">
        <v>76</v>
      </c>
      <c r="J14" t="s">
        <v>77</v>
      </c>
      <c r="K14">
        <v>14609</v>
      </c>
      <c r="L14" t="s">
        <v>87</v>
      </c>
    </row>
    <row r="15" spans="1:12" x14ac:dyDescent="0.25">
      <c r="A15">
        <v>4268700</v>
      </c>
      <c r="B15" t="s">
        <v>115</v>
      </c>
      <c r="C15">
        <v>825.42</v>
      </c>
      <c r="D15" t="s">
        <v>75</v>
      </c>
      <c r="E15" t="s">
        <v>116</v>
      </c>
      <c r="G15" s="6">
        <v>46079</v>
      </c>
      <c r="H15" s="6">
        <v>46079</v>
      </c>
      <c r="I15" t="s">
        <v>76</v>
      </c>
      <c r="J15" t="s">
        <v>77</v>
      </c>
      <c r="K15">
        <v>14606</v>
      </c>
      <c r="L15" t="s">
        <v>93</v>
      </c>
    </row>
    <row r="16" spans="1:12" x14ac:dyDescent="0.25">
      <c r="A16">
        <v>4268691</v>
      </c>
      <c r="B16" t="s">
        <v>102</v>
      </c>
      <c r="C16">
        <v>926.4</v>
      </c>
      <c r="D16" t="s">
        <v>75</v>
      </c>
      <c r="E16" t="s">
        <v>103</v>
      </c>
      <c r="G16" s="6">
        <v>46079</v>
      </c>
      <c r="H16" s="6">
        <v>46079</v>
      </c>
      <c r="I16" t="s">
        <v>76</v>
      </c>
      <c r="J16" t="s">
        <v>77</v>
      </c>
      <c r="K16">
        <v>14606</v>
      </c>
      <c r="L16" t="s">
        <v>93</v>
      </c>
    </row>
    <row r="17" spans="1:12" x14ac:dyDescent="0.25">
      <c r="A17">
        <v>4268976</v>
      </c>
      <c r="B17" t="s">
        <v>105</v>
      </c>
      <c r="C17" s="5">
        <v>1032.31</v>
      </c>
      <c r="D17" t="s">
        <v>75</v>
      </c>
      <c r="E17" t="s">
        <v>106</v>
      </c>
      <c r="G17" s="6">
        <v>46079</v>
      </c>
      <c r="H17" s="6">
        <v>46079</v>
      </c>
      <c r="I17" t="s">
        <v>76</v>
      </c>
      <c r="J17" t="s">
        <v>77</v>
      </c>
      <c r="K17">
        <v>14610</v>
      </c>
      <c r="L17" t="s">
        <v>90</v>
      </c>
    </row>
    <row r="18" spans="1:12" x14ac:dyDescent="0.25">
      <c r="A18">
        <v>4268181</v>
      </c>
      <c r="B18" t="s">
        <v>96</v>
      </c>
      <c r="C18" s="5">
        <v>1057.43</v>
      </c>
      <c r="D18" t="s">
        <v>75</v>
      </c>
      <c r="E18" t="s">
        <v>97</v>
      </c>
      <c r="G18" s="6">
        <v>46079</v>
      </c>
      <c r="H18" s="6">
        <v>46079</v>
      </c>
      <c r="I18" t="s">
        <v>76</v>
      </c>
      <c r="J18" t="s">
        <v>77</v>
      </c>
      <c r="K18">
        <v>14609</v>
      </c>
      <c r="L18" t="s">
        <v>93</v>
      </c>
    </row>
    <row r="19" spans="1:12" x14ac:dyDescent="0.25">
      <c r="A19">
        <v>4267827</v>
      </c>
      <c r="B19" t="s">
        <v>109</v>
      </c>
      <c r="C19" s="5">
        <v>1387.86</v>
      </c>
      <c r="D19" t="s">
        <v>75</v>
      </c>
      <c r="E19" t="s">
        <v>110</v>
      </c>
      <c r="G19" s="6">
        <v>46079</v>
      </c>
      <c r="H19" s="6">
        <v>46079</v>
      </c>
      <c r="I19" t="s">
        <v>76</v>
      </c>
      <c r="J19" t="s">
        <v>77</v>
      </c>
      <c r="K19">
        <v>14606</v>
      </c>
      <c r="L19" t="s">
        <v>93</v>
      </c>
    </row>
    <row r="20" spans="1:12" x14ac:dyDescent="0.25">
      <c r="A20">
        <v>4269143</v>
      </c>
      <c r="B20" t="s">
        <v>119</v>
      </c>
      <c r="C20" s="5">
        <v>2446.4499999999998</v>
      </c>
      <c r="D20" t="s">
        <v>75</v>
      </c>
      <c r="E20" t="s">
        <v>120</v>
      </c>
      <c r="G20" s="6">
        <v>46079</v>
      </c>
      <c r="H20" s="6">
        <v>46079</v>
      </c>
      <c r="I20" t="s">
        <v>76</v>
      </c>
      <c r="J20" t="s">
        <v>86</v>
      </c>
      <c r="K20">
        <v>14613</v>
      </c>
      <c r="L20" t="s">
        <v>93</v>
      </c>
    </row>
    <row r="21" spans="1:12" x14ac:dyDescent="0.25">
      <c r="A21">
        <v>4268373</v>
      </c>
      <c r="B21" t="s">
        <v>88</v>
      </c>
      <c r="C21" s="5">
        <v>3970.74</v>
      </c>
      <c r="D21" t="s">
        <v>75</v>
      </c>
      <c r="E21" t="s">
        <v>89</v>
      </c>
      <c r="G21" s="6">
        <v>46079</v>
      </c>
      <c r="H21" s="6">
        <v>46079</v>
      </c>
      <c r="I21" t="s">
        <v>76</v>
      </c>
      <c r="J21" t="s">
        <v>77</v>
      </c>
      <c r="K21">
        <v>14606</v>
      </c>
      <c r="L21" t="s">
        <v>90</v>
      </c>
    </row>
    <row r="22" spans="1:12" x14ac:dyDescent="0.25">
      <c r="C22">
        <f>SUM(C2:C21)</f>
        <v>16801.520000000004</v>
      </c>
      <c r="D22">
        <f>COUNT(C2:C21)</f>
        <v>20</v>
      </c>
    </row>
  </sheetData>
  <sortState xmlns:xlrd2="http://schemas.microsoft.com/office/spreadsheetml/2017/richdata2" ref="A2:L21">
    <sortCondition ref="C3:C21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9950-3D8B-4187-B68A-F6000BC3BDBC}">
  <sheetPr filterMode="1"/>
  <dimension ref="A1:C434"/>
  <sheetViews>
    <sheetView topLeftCell="A323" workbookViewId="0">
      <selection activeCell="A374" sqref="A374:C374"/>
    </sheetView>
  </sheetViews>
  <sheetFormatPr defaultRowHeight="15" x14ac:dyDescent="0.25"/>
  <cols>
    <col min="1" max="1" width="14.7109375" bestFit="1" customWidth="1"/>
    <col min="2" max="2" width="34.42578125" bestFit="1" customWidth="1"/>
    <col min="3" max="3" width="29.7109375" bestFit="1" customWidth="1"/>
  </cols>
  <sheetData>
    <row r="1" spans="1:3" x14ac:dyDescent="0.25">
      <c r="A1" t="s">
        <v>55</v>
      </c>
      <c r="B1" t="s">
        <v>1</v>
      </c>
      <c r="C1" t="s">
        <v>32</v>
      </c>
    </row>
    <row r="2" spans="1:3" hidden="1" x14ac:dyDescent="0.25">
      <c r="A2">
        <v>0.9</v>
      </c>
      <c r="B2" t="s">
        <v>31</v>
      </c>
      <c r="C2" t="s">
        <v>47</v>
      </c>
    </row>
    <row r="3" spans="1:3" hidden="1" x14ac:dyDescent="0.25">
      <c r="A3">
        <v>5</v>
      </c>
      <c r="B3" t="s">
        <v>29</v>
      </c>
      <c r="C3" t="s">
        <v>54</v>
      </c>
    </row>
    <row r="4" spans="1:3" hidden="1" x14ac:dyDescent="0.25">
      <c r="A4">
        <v>5.59</v>
      </c>
      <c r="B4" t="s">
        <v>26</v>
      </c>
      <c r="C4" t="s">
        <v>48</v>
      </c>
    </row>
    <row r="5" spans="1:3" hidden="1" x14ac:dyDescent="0.25">
      <c r="A5">
        <v>6.93</v>
      </c>
      <c r="B5" t="s">
        <v>30</v>
      </c>
      <c r="C5" t="s">
        <v>36</v>
      </c>
    </row>
    <row r="6" spans="1:3" hidden="1" x14ac:dyDescent="0.25">
      <c r="A6">
        <v>7.01</v>
      </c>
      <c r="B6" t="s">
        <v>25</v>
      </c>
      <c r="C6" t="s">
        <v>47</v>
      </c>
    </row>
    <row r="7" spans="1:3" hidden="1" x14ac:dyDescent="0.25">
      <c r="A7">
        <v>10</v>
      </c>
      <c r="B7" t="s">
        <v>27</v>
      </c>
      <c r="C7" t="s">
        <v>41</v>
      </c>
    </row>
    <row r="8" spans="1:3" hidden="1" x14ac:dyDescent="0.25">
      <c r="A8">
        <v>10</v>
      </c>
      <c r="B8" t="s">
        <v>27</v>
      </c>
      <c r="C8" t="s">
        <v>36</v>
      </c>
    </row>
    <row r="9" spans="1:3" hidden="1" x14ac:dyDescent="0.25">
      <c r="A9">
        <v>10</v>
      </c>
      <c r="B9" t="s">
        <v>30</v>
      </c>
      <c r="C9" t="s">
        <v>48</v>
      </c>
    </row>
    <row r="10" spans="1:3" hidden="1" x14ac:dyDescent="0.25">
      <c r="A10">
        <v>10.01</v>
      </c>
      <c r="B10" t="s">
        <v>30</v>
      </c>
      <c r="C10" t="s">
        <v>36</v>
      </c>
    </row>
    <row r="11" spans="1:3" hidden="1" x14ac:dyDescent="0.25">
      <c r="A11">
        <v>10.01</v>
      </c>
      <c r="B11" t="s">
        <v>30</v>
      </c>
      <c r="C11" t="s">
        <v>36</v>
      </c>
    </row>
    <row r="12" spans="1:3" hidden="1" x14ac:dyDescent="0.25">
      <c r="A12">
        <v>10.01</v>
      </c>
      <c r="B12" t="s">
        <v>30</v>
      </c>
      <c r="C12" t="s">
        <v>48</v>
      </c>
    </row>
    <row r="13" spans="1:3" hidden="1" x14ac:dyDescent="0.25">
      <c r="A13">
        <v>10.02</v>
      </c>
      <c r="B13" t="s">
        <v>26</v>
      </c>
      <c r="C13" t="s">
        <v>46</v>
      </c>
    </row>
    <row r="14" spans="1:3" hidden="1" x14ac:dyDescent="0.25">
      <c r="A14">
        <v>10.029999999999999</v>
      </c>
      <c r="B14" t="s">
        <v>27</v>
      </c>
      <c r="C14" t="s">
        <v>38</v>
      </c>
    </row>
    <row r="15" spans="1:3" hidden="1" x14ac:dyDescent="0.25">
      <c r="A15">
        <v>10.039999999999999</v>
      </c>
      <c r="B15" t="s">
        <v>25</v>
      </c>
      <c r="C15" t="s">
        <v>38</v>
      </c>
    </row>
    <row r="16" spans="1:3" hidden="1" x14ac:dyDescent="0.25">
      <c r="A16">
        <v>10.039999999999999</v>
      </c>
      <c r="B16" t="s">
        <v>26</v>
      </c>
      <c r="C16" t="s">
        <v>48</v>
      </c>
    </row>
    <row r="17" spans="1:3" hidden="1" x14ac:dyDescent="0.25">
      <c r="A17">
        <v>11.36</v>
      </c>
      <c r="B17" t="s">
        <v>30</v>
      </c>
      <c r="C17" t="s">
        <v>36</v>
      </c>
    </row>
    <row r="18" spans="1:3" hidden="1" x14ac:dyDescent="0.25">
      <c r="A18">
        <v>11.47</v>
      </c>
      <c r="B18" t="s">
        <v>30</v>
      </c>
      <c r="C18" t="s">
        <v>35</v>
      </c>
    </row>
    <row r="19" spans="1:3" hidden="1" x14ac:dyDescent="0.25">
      <c r="A19">
        <v>13.89</v>
      </c>
      <c r="B19" t="s">
        <v>31</v>
      </c>
      <c r="C19" t="s">
        <v>38</v>
      </c>
    </row>
    <row r="20" spans="1:3" hidden="1" x14ac:dyDescent="0.25">
      <c r="A20">
        <v>15</v>
      </c>
      <c r="B20" t="s">
        <v>25</v>
      </c>
      <c r="C20" t="s">
        <v>36</v>
      </c>
    </row>
    <row r="21" spans="1:3" hidden="1" x14ac:dyDescent="0.25">
      <c r="A21">
        <v>15</v>
      </c>
      <c r="B21" t="s">
        <v>28</v>
      </c>
      <c r="C21" t="s">
        <v>46</v>
      </c>
    </row>
    <row r="22" spans="1:3" hidden="1" x14ac:dyDescent="0.25">
      <c r="A22">
        <v>15.01</v>
      </c>
      <c r="B22" t="s">
        <v>28</v>
      </c>
      <c r="C22" t="s">
        <v>46</v>
      </c>
    </row>
    <row r="23" spans="1:3" hidden="1" x14ac:dyDescent="0.25">
      <c r="A23">
        <v>15.02</v>
      </c>
      <c r="B23" t="s">
        <v>25</v>
      </c>
      <c r="C23" t="s">
        <v>36</v>
      </c>
    </row>
    <row r="24" spans="1:3" hidden="1" x14ac:dyDescent="0.25">
      <c r="A24">
        <v>15.03</v>
      </c>
      <c r="B24" t="s">
        <v>28</v>
      </c>
      <c r="C24" t="s">
        <v>38</v>
      </c>
    </row>
    <row r="25" spans="1:3" hidden="1" x14ac:dyDescent="0.25">
      <c r="A25">
        <v>15.03</v>
      </c>
      <c r="B25" t="s">
        <v>31</v>
      </c>
      <c r="C25" t="s">
        <v>36</v>
      </c>
    </row>
    <row r="26" spans="1:3" hidden="1" x14ac:dyDescent="0.25">
      <c r="A26">
        <v>15.05</v>
      </c>
      <c r="B26" t="s">
        <v>31</v>
      </c>
      <c r="C26" t="s">
        <v>36</v>
      </c>
    </row>
    <row r="27" spans="1:3" hidden="1" x14ac:dyDescent="0.25">
      <c r="A27">
        <v>15.07</v>
      </c>
      <c r="B27" t="s">
        <v>31</v>
      </c>
      <c r="C27" t="s">
        <v>36</v>
      </c>
    </row>
    <row r="28" spans="1:3" hidden="1" x14ac:dyDescent="0.25">
      <c r="A28">
        <v>15.56</v>
      </c>
      <c r="B28" t="s">
        <v>31</v>
      </c>
      <c r="C28" t="s">
        <v>36</v>
      </c>
    </row>
    <row r="29" spans="1:3" hidden="1" x14ac:dyDescent="0.25">
      <c r="A29">
        <v>18.02</v>
      </c>
      <c r="B29" t="s">
        <v>27</v>
      </c>
      <c r="C29" t="s">
        <v>48</v>
      </c>
    </row>
    <row r="30" spans="1:3" hidden="1" x14ac:dyDescent="0.25">
      <c r="A30">
        <v>19.75</v>
      </c>
      <c r="B30" t="s">
        <v>31</v>
      </c>
      <c r="C30" t="s">
        <v>48</v>
      </c>
    </row>
    <row r="31" spans="1:3" x14ac:dyDescent="0.25">
      <c r="A31">
        <v>19.920000000000002</v>
      </c>
      <c r="B31" t="s">
        <v>31</v>
      </c>
      <c r="C31" t="s">
        <v>33</v>
      </c>
    </row>
    <row r="32" spans="1:3" hidden="1" x14ac:dyDescent="0.25">
      <c r="A32">
        <v>20</v>
      </c>
      <c r="B32" t="s">
        <v>25</v>
      </c>
      <c r="C32" t="s">
        <v>41</v>
      </c>
    </row>
    <row r="33" spans="1:3" hidden="1" x14ac:dyDescent="0.25">
      <c r="A33">
        <v>20</v>
      </c>
      <c r="B33" t="s">
        <v>25</v>
      </c>
      <c r="C33" t="s">
        <v>36</v>
      </c>
    </row>
    <row r="34" spans="1:3" hidden="1" x14ac:dyDescent="0.25">
      <c r="A34">
        <v>20</v>
      </c>
      <c r="B34" t="s">
        <v>25</v>
      </c>
      <c r="C34" t="s">
        <v>36</v>
      </c>
    </row>
    <row r="35" spans="1:3" hidden="1" x14ac:dyDescent="0.25">
      <c r="A35">
        <v>20</v>
      </c>
      <c r="B35" t="s">
        <v>28</v>
      </c>
      <c r="C35" t="s">
        <v>38</v>
      </c>
    </row>
    <row r="36" spans="1:3" hidden="1" x14ac:dyDescent="0.25">
      <c r="A36">
        <v>20</v>
      </c>
      <c r="B36" t="s">
        <v>29</v>
      </c>
      <c r="C36" t="s">
        <v>41</v>
      </c>
    </row>
    <row r="37" spans="1:3" hidden="1" x14ac:dyDescent="0.25">
      <c r="A37">
        <v>20</v>
      </c>
      <c r="B37" t="s">
        <v>29</v>
      </c>
      <c r="C37" t="s">
        <v>41</v>
      </c>
    </row>
    <row r="38" spans="1:3" hidden="1" x14ac:dyDescent="0.25">
      <c r="A38">
        <v>20</v>
      </c>
      <c r="B38" t="s">
        <v>30</v>
      </c>
      <c r="C38" t="s">
        <v>36</v>
      </c>
    </row>
    <row r="39" spans="1:3" hidden="1" x14ac:dyDescent="0.25">
      <c r="A39">
        <v>20</v>
      </c>
      <c r="B39" t="s">
        <v>30</v>
      </c>
      <c r="C39" t="s">
        <v>36</v>
      </c>
    </row>
    <row r="40" spans="1:3" hidden="1" x14ac:dyDescent="0.25">
      <c r="A40">
        <v>20</v>
      </c>
      <c r="B40" t="s">
        <v>31</v>
      </c>
      <c r="C40" t="s">
        <v>36</v>
      </c>
    </row>
    <row r="41" spans="1:3" hidden="1" x14ac:dyDescent="0.25">
      <c r="A41">
        <v>20</v>
      </c>
      <c r="B41" t="s">
        <v>31</v>
      </c>
      <c r="C41" t="s">
        <v>47</v>
      </c>
    </row>
    <row r="42" spans="1:3" hidden="1" x14ac:dyDescent="0.25">
      <c r="A42">
        <v>20</v>
      </c>
      <c r="B42" t="s">
        <v>31</v>
      </c>
      <c r="C42" t="s">
        <v>48</v>
      </c>
    </row>
    <row r="43" spans="1:3" hidden="1" x14ac:dyDescent="0.25">
      <c r="A43">
        <v>20.010000000000002</v>
      </c>
      <c r="B43" t="s">
        <v>25</v>
      </c>
      <c r="C43" t="s">
        <v>38</v>
      </c>
    </row>
    <row r="44" spans="1:3" hidden="1" x14ac:dyDescent="0.25">
      <c r="A44">
        <v>20.010000000000002</v>
      </c>
      <c r="B44" t="s">
        <v>26</v>
      </c>
      <c r="C44" t="s">
        <v>38</v>
      </c>
    </row>
    <row r="45" spans="1:3" hidden="1" x14ac:dyDescent="0.25">
      <c r="A45">
        <v>20.010000000000002</v>
      </c>
      <c r="B45" t="s">
        <v>27</v>
      </c>
      <c r="C45" t="s">
        <v>41</v>
      </c>
    </row>
    <row r="46" spans="1:3" hidden="1" x14ac:dyDescent="0.25">
      <c r="A46">
        <v>20.010000000000002</v>
      </c>
      <c r="B46" t="s">
        <v>27</v>
      </c>
      <c r="C46" t="s">
        <v>48</v>
      </c>
    </row>
    <row r="47" spans="1:3" hidden="1" x14ac:dyDescent="0.25">
      <c r="A47">
        <v>20.02</v>
      </c>
      <c r="B47" t="s">
        <v>25</v>
      </c>
      <c r="C47" t="s">
        <v>36</v>
      </c>
    </row>
    <row r="48" spans="1:3" hidden="1" x14ac:dyDescent="0.25">
      <c r="A48">
        <v>20.02</v>
      </c>
      <c r="B48" t="s">
        <v>25</v>
      </c>
      <c r="C48" t="s">
        <v>48</v>
      </c>
    </row>
    <row r="49" spans="1:3" hidden="1" x14ac:dyDescent="0.25">
      <c r="A49">
        <v>20.02</v>
      </c>
      <c r="B49" t="s">
        <v>25</v>
      </c>
      <c r="C49" t="s">
        <v>38</v>
      </c>
    </row>
    <row r="50" spans="1:3" hidden="1" x14ac:dyDescent="0.25">
      <c r="A50">
        <v>20.02</v>
      </c>
      <c r="B50" t="s">
        <v>26</v>
      </c>
      <c r="C50" t="s">
        <v>38</v>
      </c>
    </row>
    <row r="51" spans="1:3" hidden="1" x14ac:dyDescent="0.25">
      <c r="A51">
        <v>20.02</v>
      </c>
      <c r="B51" t="s">
        <v>30</v>
      </c>
      <c r="C51" t="s">
        <v>38</v>
      </c>
    </row>
    <row r="52" spans="1:3" hidden="1" x14ac:dyDescent="0.25">
      <c r="A52">
        <v>20.04</v>
      </c>
      <c r="B52" t="s">
        <v>26</v>
      </c>
      <c r="C52" t="s">
        <v>49</v>
      </c>
    </row>
    <row r="53" spans="1:3" hidden="1" x14ac:dyDescent="0.25">
      <c r="A53">
        <v>20.04</v>
      </c>
      <c r="B53" t="s">
        <v>27</v>
      </c>
      <c r="C53" t="s">
        <v>48</v>
      </c>
    </row>
    <row r="54" spans="1:3" hidden="1" x14ac:dyDescent="0.25">
      <c r="A54">
        <v>20.04</v>
      </c>
      <c r="B54" t="s">
        <v>28</v>
      </c>
      <c r="C54" t="s">
        <v>37</v>
      </c>
    </row>
    <row r="55" spans="1:3" hidden="1" x14ac:dyDescent="0.25">
      <c r="A55">
        <v>20.04</v>
      </c>
      <c r="B55" t="s">
        <v>30</v>
      </c>
      <c r="C55" t="s">
        <v>36</v>
      </c>
    </row>
    <row r="56" spans="1:3" hidden="1" x14ac:dyDescent="0.25">
      <c r="A56">
        <v>20.46</v>
      </c>
      <c r="B56" t="s">
        <v>31</v>
      </c>
      <c r="C56" t="s">
        <v>52</v>
      </c>
    </row>
    <row r="57" spans="1:3" hidden="1" x14ac:dyDescent="0.25">
      <c r="A57">
        <v>20.69</v>
      </c>
      <c r="B57" t="s">
        <v>30</v>
      </c>
      <c r="C57" t="s">
        <v>37</v>
      </c>
    </row>
    <row r="58" spans="1:3" hidden="1" x14ac:dyDescent="0.25">
      <c r="A58">
        <v>21.86</v>
      </c>
      <c r="B58" t="s">
        <v>30</v>
      </c>
      <c r="C58" t="s">
        <v>36</v>
      </c>
    </row>
    <row r="59" spans="1:3" hidden="1" x14ac:dyDescent="0.25">
      <c r="A59">
        <v>22.01</v>
      </c>
      <c r="B59" t="s">
        <v>31</v>
      </c>
      <c r="C59" t="s">
        <v>49</v>
      </c>
    </row>
    <row r="60" spans="1:3" hidden="1" x14ac:dyDescent="0.25">
      <c r="A60">
        <v>22.99</v>
      </c>
      <c r="B60" t="s">
        <v>31</v>
      </c>
      <c r="C60" t="s">
        <v>36</v>
      </c>
    </row>
    <row r="61" spans="1:3" hidden="1" x14ac:dyDescent="0.25">
      <c r="A61">
        <v>23.23</v>
      </c>
      <c r="B61" t="s">
        <v>31</v>
      </c>
      <c r="C61" t="s">
        <v>49</v>
      </c>
    </row>
    <row r="62" spans="1:3" hidden="1" x14ac:dyDescent="0.25">
      <c r="A62">
        <v>25</v>
      </c>
      <c r="B62" t="s">
        <v>26</v>
      </c>
      <c r="C62" t="s">
        <v>36</v>
      </c>
    </row>
    <row r="63" spans="1:3" hidden="1" x14ac:dyDescent="0.25">
      <c r="A63">
        <v>25</v>
      </c>
      <c r="B63" t="s">
        <v>30</v>
      </c>
      <c r="C63" t="s">
        <v>46</v>
      </c>
    </row>
    <row r="64" spans="1:3" hidden="1" x14ac:dyDescent="0.25">
      <c r="A64">
        <v>25</v>
      </c>
      <c r="B64" t="s">
        <v>30</v>
      </c>
      <c r="C64" t="s">
        <v>49</v>
      </c>
    </row>
    <row r="65" spans="1:3" hidden="1" x14ac:dyDescent="0.25">
      <c r="A65">
        <v>25.13</v>
      </c>
      <c r="B65" t="s">
        <v>31</v>
      </c>
      <c r="C65" t="s">
        <v>36</v>
      </c>
    </row>
    <row r="66" spans="1:3" hidden="1" x14ac:dyDescent="0.25">
      <c r="A66">
        <v>26.45</v>
      </c>
      <c r="B66" t="s">
        <v>25</v>
      </c>
      <c r="C66" t="s">
        <v>49</v>
      </c>
    </row>
    <row r="67" spans="1:3" hidden="1" x14ac:dyDescent="0.25">
      <c r="A67">
        <v>27.09</v>
      </c>
      <c r="B67" t="s">
        <v>29</v>
      </c>
      <c r="C67" t="s">
        <v>49</v>
      </c>
    </row>
    <row r="68" spans="1:3" hidden="1" x14ac:dyDescent="0.25">
      <c r="A68">
        <v>30</v>
      </c>
      <c r="B68" t="s">
        <v>25</v>
      </c>
      <c r="C68" t="s">
        <v>38</v>
      </c>
    </row>
    <row r="69" spans="1:3" hidden="1" x14ac:dyDescent="0.25">
      <c r="A69">
        <v>30</v>
      </c>
      <c r="B69" t="s">
        <v>27</v>
      </c>
      <c r="C69" t="s">
        <v>36</v>
      </c>
    </row>
    <row r="70" spans="1:3" hidden="1" x14ac:dyDescent="0.25">
      <c r="A70">
        <v>30</v>
      </c>
      <c r="B70" t="s">
        <v>27</v>
      </c>
      <c r="C70" t="s">
        <v>36</v>
      </c>
    </row>
    <row r="71" spans="1:3" hidden="1" x14ac:dyDescent="0.25">
      <c r="A71">
        <v>30</v>
      </c>
      <c r="B71" t="s">
        <v>27</v>
      </c>
      <c r="C71" t="s">
        <v>36</v>
      </c>
    </row>
    <row r="72" spans="1:3" hidden="1" x14ac:dyDescent="0.25">
      <c r="A72">
        <v>30</v>
      </c>
      <c r="B72" t="s">
        <v>27</v>
      </c>
      <c r="C72" t="s">
        <v>48</v>
      </c>
    </row>
    <row r="73" spans="1:3" hidden="1" x14ac:dyDescent="0.25">
      <c r="A73">
        <v>30</v>
      </c>
      <c r="B73" t="s">
        <v>29</v>
      </c>
      <c r="C73" t="s">
        <v>41</v>
      </c>
    </row>
    <row r="74" spans="1:3" hidden="1" x14ac:dyDescent="0.25">
      <c r="A74">
        <v>30</v>
      </c>
      <c r="B74" t="s">
        <v>30</v>
      </c>
      <c r="C74" t="s">
        <v>36</v>
      </c>
    </row>
    <row r="75" spans="1:3" hidden="1" x14ac:dyDescent="0.25">
      <c r="A75">
        <v>30</v>
      </c>
      <c r="B75" t="s">
        <v>30</v>
      </c>
      <c r="C75" t="s">
        <v>48</v>
      </c>
    </row>
    <row r="76" spans="1:3" hidden="1" x14ac:dyDescent="0.25">
      <c r="A76">
        <v>30</v>
      </c>
      <c r="B76" t="s">
        <v>31</v>
      </c>
      <c r="C76" t="s">
        <v>48</v>
      </c>
    </row>
    <row r="77" spans="1:3" hidden="1" x14ac:dyDescent="0.25">
      <c r="A77">
        <v>30.01</v>
      </c>
      <c r="B77" t="s">
        <v>29</v>
      </c>
      <c r="C77" t="s">
        <v>41</v>
      </c>
    </row>
    <row r="78" spans="1:3" hidden="1" x14ac:dyDescent="0.25">
      <c r="A78">
        <v>30.02</v>
      </c>
      <c r="B78" t="s">
        <v>25</v>
      </c>
      <c r="C78" t="s">
        <v>36</v>
      </c>
    </row>
    <row r="79" spans="1:3" hidden="1" x14ac:dyDescent="0.25">
      <c r="A79">
        <v>30.02</v>
      </c>
      <c r="B79" t="s">
        <v>27</v>
      </c>
      <c r="C79" t="s">
        <v>41</v>
      </c>
    </row>
    <row r="80" spans="1:3" hidden="1" x14ac:dyDescent="0.25">
      <c r="A80">
        <v>30.02</v>
      </c>
      <c r="B80" t="s">
        <v>27</v>
      </c>
      <c r="C80" t="s">
        <v>49</v>
      </c>
    </row>
    <row r="81" spans="1:3" hidden="1" x14ac:dyDescent="0.25">
      <c r="A81">
        <v>30.02</v>
      </c>
      <c r="B81" t="s">
        <v>29</v>
      </c>
      <c r="C81" t="s">
        <v>41</v>
      </c>
    </row>
    <row r="82" spans="1:3" hidden="1" x14ac:dyDescent="0.25">
      <c r="A82">
        <v>30.02</v>
      </c>
      <c r="B82" t="s">
        <v>30</v>
      </c>
      <c r="C82" t="s">
        <v>36</v>
      </c>
    </row>
    <row r="83" spans="1:3" hidden="1" x14ac:dyDescent="0.25">
      <c r="A83">
        <v>30.02</v>
      </c>
      <c r="B83" t="s">
        <v>31</v>
      </c>
      <c r="C83" t="s">
        <v>48</v>
      </c>
    </row>
    <row r="84" spans="1:3" hidden="1" x14ac:dyDescent="0.25">
      <c r="A84">
        <v>30.02</v>
      </c>
      <c r="B84" t="s">
        <v>31</v>
      </c>
      <c r="C84" t="s">
        <v>38</v>
      </c>
    </row>
    <row r="85" spans="1:3" hidden="1" x14ac:dyDescent="0.25">
      <c r="A85">
        <v>30.04</v>
      </c>
      <c r="B85" t="s">
        <v>25</v>
      </c>
      <c r="C85" t="s">
        <v>41</v>
      </c>
    </row>
    <row r="86" spans="1:3" hidden="1" x14ac:dyDescent="0.25">
      <c r="A86">
        <v>30.04</v>
      </c>
      <c r="B86" t="s">
        <v>25</v>
      </c>
      <c r="C86" t="s">
        <v>43</v>
      </c>
    </row>
    <row r="87" spans="1:3" hidden="1" x14ac:dyDescent="0.25">
      <c r="A87">
        <v>30.05</v>
      </c>
      <c r="B87" t="s">
        <v>28</v>
      </c>
      <c r="C87" t="s">
        <v>35</v>
      </c>
    </row>
    <row r="88" spans="1:3" hidden="1" x14ac:dyDescent="0.25">
      <c r="A88">
        <v>30.05</v>
      </c>
      <c r="B88" t="s">
        <v>30</v>
      </c>
      <c r="C88" t="s">
        <v>36</v>
      </c>
    </row>
    <row r="89" spans="1:3" hidden="1" x14ac:dyDescent="0.25">
      <c r="A89">
        <v>30.05</v>
      </c>
      <c r="B89" t="s">
        <v>30</v>
      </c>
      <c r="C89" t="s">
        <v>38</v>
      </c>
    </row>
    <row r="90" spans="1:3" hidden="1" x14ac:dyDescent="0.25">
      <c r="A90">
        <v>30.07</v>
      </c>
      <c r="B90" t="s">
        <v>26</v>
      </c>
      <c r="C90" t="s">
        <v>36</v>
      </c>
    </row>
    <row r="91" spans="1:3" hidden="1" x14ac:dyDescent="0.25">
      <c r="A91">
        <v>30.07</v>
      </c>
      <c r="B91" t="s">
        <v>30</v>
      </c>
      <c r="C91" t="s">
        <v>36</v>
      </c>
    </row>
    <row r="92" spans="1:3" hidden="1" x14ac:dyDescent="0.25">
      <c r="A92">
        <v>30.08</v>
      </c>
      <c r="B92" t="s">
        <v>31</v>
      </c>
      <c r="C92" t="s">
        <v>36</v>
      </c>
    </row>
    <row r="93" spans="1:3" hidden="1" x14ac:dyDescent="0.25">
      <c r="A93">
        <v>30.24</v>
      </c>
      <c r="B93" t="s">
        <v>30</v>
      </c>
      <c r="C93" t="s">
        <v>36</v>
      </c>
    </row>
    <row r="94" spans="1:3" hidden="1" x14ac:dyDescent="0.25">
      <c r="A94">
        <v>30.49</v>
      </c>
      <c r="B94" t="s">
        <v>30</v>
      </c>
      <c r="C94" t="s">
        <v>46</v>
      </c>
    </row>
    <row r="95" spans="1:3" x14ac:dyDescent="0.25">
      <c r="A95">
        <v>31.48</v>
      </c>
      <c r="B95" t="s">
        <v>27</v>
      </c>
      <c r="C95" t="s">
        <v>33</v>
      </c>
    </row>
    <row r="96" spans="1:3" hidden="1" x14ac:dyDescent="0.25">
      <c r="A96">
        <v>32.479999999999997</v>
      </c>
      <c r="B96" t="s">
        <v>26</v>
      </c>
      <c r="C96" t="s">
        <v>39</v>
      </c>
    </row>
    <row r="97" spans="1:3" hidden="1" x14ac:dyDescent="0.25">
      <c r="A97">
        <v>32.78</v>
      </c>
      <c r="B97" t="s">
        <v>26</v>
      </c>
      <c r="C97" t="s">
        <v>38</v>
      </c>
    </row>
    <row r="98" spans="1:3" hidden="1" x14ac:dyDescent="0.25">
      <c r="A98">
        <v>32.950000000000003</v>
      </c>
      <c r="B98" t="s">
        <v>30</v>
      </c>
      <c r="C98" t="s">
        <v>48</v>
      </c>
    </row>
    <row r="99" spans="1:3" hidden="1" x14ac:dyDescent="0.25">
      <c r="A99">
        <v>35.01</v>
      </c>
      <c r="B99" t="s">
        <v>27</v>
      </c>
      <c r="C99" t="s">
        <v>36</v>
      </c>
    </row>
    <row r="100" spans="1:3" hidden="1" x14ac:dyDescent="0.25">
      <c r="A100">
        <v>35.04</v>
      </c>
      <c r="B100" t="s">
        <v>26</v>
      </c>
      <c r="C100" t="s">
        <v>36</v>
      </c>
    </row>
    <row r="101" spans="1:3" hidden="1" x14ac:dyDescent="0.25">
      <c r="A101">
        <v>36.17</v>
      </c>
      <c r="B101" t="s">
        <v>31</v>
      </c>
      <c r="C101" t="s">
        <v>49</v>
      </c>
    </row>
    <row r="102" spans="1:3" hidden="1" x14ac:dyDescent="0.25">
      <c r="A102">
        <v>37.24</v>
      </c>
      <c r="B102" t="s">
        <v>27</v>
      </c>
      <c r="C102" t="s">
        <v>51</v>
      </c>
    </row>
    <row r="103" spans="1:3" hidden="1" x14ac:dyDescent="0.25">
      <c r="A103">
        <v>39.54</v>
      </c>
      <c r="B103" t="s">
        <v>25</v>
      </c>
      <c r="C103" t="s">
        <v>49</v>
      </c>
    </row>
    <row r="104" spans="1:3" hidden="1" x14ac:dyDescent="0.25">
      <c r="A104">
        <v>40</v>
      </c>
      <c r="B104" t="s">
        <v>25</v>
      </c>
      <c r="C104" t="s">
        <v>46</v>
      </c>
    </row>
    <row r="105" spans="1:3" hidden="1" x14ac:dyDescent="0.25">
      <c r="A105">
        <v>40</v>
      </c>
      <c r="B105" t="s">
        <v>25</v>
      </c>
      <c r="C105" t="s">
        <v>47</v>
      </c>
    </row>
    <row r="106" spans="1:3" hidden="1" x14ac:dyDescent="0.25">
      <c r="A106">
        <v>40</v>
      </c>
      <c r="B106" t="s">
        <v>26</v>
      </c>
      <c r="C106" t="s">
        <v>36</v>
      </c>
    </row>
    <row r="107" spans="1:3" hidden="1" x14ac:dyDescent="0.25">
      <c r="A107">
        <v>40</v>
      </c>
      <c r="B107" t="s">
        <v>27</v>
      </c>
      <c r="C107" t="s">
        <v>36</v>
      </c>
    </row>
    <row r="108" spans="1:3" hidden="1" x14ac:dyDescent="0.25">
      <c r="A108">
        <v>40</v>
      </c>
      <c r="B108" t="s">
        <v>27</v>
      </c>
      <c r="C108" t="s">
        <v>38</v>
      </c>
    </row>
    <row r="109" spans="1:3" hidden="1" x14ac:dyDescent="0.25">
      <c r="A109">
        <v>40</v>
      </c>
      <c r="B109" t="s">
        <v>28</v>
      </c>
      <c r="C109" t="s">
        <v>36</v>
      </c>
    </row>
    <row r="110" spans="1:3" hidden="1" x14ac:dyDescent="0.25">
      <c r="A110">
        <v>40</v>
      </c>
      <c r="B110" t="s">
        <v>29</v>
      </c>
      <c r="C110" t="s">
        <v>41</v>
      </c>
    </row>
    <row r="111" spans="1:3" hidden="1" x14ac:dyDescent="0.25">
      <c r="A111">
        <v>40</v>
      </c>
      <c r="B111" t="s">
        <v>31</v>
      </c>
      <c r="C111" t="s">
        <v>49</v>
      </c>
    </row>
    <row r="112" spans="1:3" hidden="1" x14ac:dyDescent="0.25">
      <c r="A112">
        <v>40.020000000000003</v>
      </c>
      <c r="B112" t="s">
        <v>25</v>
      </c>
      <c r="C112" t="s">
        <v>49</v>
      </c>
    </row>
    <row r="113" spans="1:3" hidden="1" x14ac:dyDescent="0.25">
      <c r="A113">
        <v>40.020000000000003</v>
      </c>
      <c r="B113" t="s">
        <v>25</v>
      </c>
      <c r="C113" t="s">
        <v>49</v>
      </c>
    </row>
    <row r="114" spans="1:3" hidden="1" x14ac:dyDescent="0.25">
      <c r="A114">
        <v>40.020000000000003</v>
      </c>
      <c r="B114" t="s">
        <v>25</v>
      </c>
      <c r="C114" t="s">
        <v>38</v>
      </c>
    </row>
    <row r="115" spans="1:3" hidden="1" x14ac:dyDescent="0.25">
      <c r="A115">
        <v>40.03</v>
      </c>
      <c r="B115" t="s">
        <v>27</v>
      </c>
      <c r="C115" t="s">
        <v>37</v>
      </c>
    </row>
    <row r="116" spans="1:3" hidden="1" x14ac:dyDescent="0.25">
      <c r="A116">
        <v>40.07</v>
      </c>
      <c r="B116" t="s">
        <v>31</v>
      </c>
      <c r="C116" t="s">
        <v>49</v>
      </c>
    </row>
    <row r="117" spans="1:3" hidden="1" x14ac:dyDescent="0.25">
      <c r="A117">
        <v>46.13</v>
      </c>
      <c r="B117" t="s">
        <v>24</v>
      </c>
      <c r="C117" t="s">
        <v>38</v>
      </c>
    </row>
    <row r="118" spans="1:3" hidden="1" x14ac:dyDescent="0.25">
      <c r="A118">
        <v>46.13</v>
      </c>
      <c r="B118" t="s">
        <v>25</v>
      </c>
      <c r="C118" t="s">
        <v>45</v>
      </c>
    </row>
    <row r="119" spans="1:3" hidden="1" x14ac:dyDescent="0.25">
      <c r="A119">
        <v>46.98</v>
      </c>
      <c r="B119" t="s">
        <v>26</v>
      </c>
      <c r="C119" t="s">
        <v>52</v>
      </c>
    </row>
    <row r="120" spans="1:3" hidden="1" x14ac:dyDescent="0.25">
      <c r="A120">
        <v>49.28</v>
      </c>
      <c r="B120" t="s">
        <v>25</v>
      </c>
      <c r="C120" t="s">
        <v>49</v>
      </c>
    </row>
    <row r="121" spans="1:3" hidden="1" x14ac:dyDescent="0.25">
      <c r="A121">
        <v>50</v>
      </c>
      <c r="B121" t="s">
        <v>25</v>
      </c>
      <c r="C121" t="s">
        <v>36</v>
      </c>
    </row>
    <row r="122" spans="1:3" hidden="1" x14ac:dyDescent="0.25">
      <c r="A122">
        <v>50</v>
      </c>
      <c r="B122" t="s">
        <v>25</v>
      </c>
      <c r="C122" t="s">
        <v>47</v>
      </c>
    </row>
    <row r="123" spans="1:3" hidden="1" x14ac:dyDescent="0.25">
      <c r="A123">
        <v>50</v>
      </c>
      <c r="B123" t="s">
        <v>25</v>
      </c>
      <c r="C123" t="s">
        <v>48</v>
      </c>
    </row>
    <row r="124" spans="1:3" hidden="1" x14ac:dyDescent="0.25">
      <c r="A124">
        <v>50</v>
      </c>
      <c r="B124" t="s">
        <v>25</v>
      </c>
      <c r="C124" t="s">
        <v>48</v>
      </c>
    </row>
    <row r="125" spans="1:3" hidden="1" x14ac:dyDescent="0.25">
      <c r="A125">
        <v>50</v>
      </c>
      <c r="B125" t="s">
        <v>25</v>
      </c>
      <c r="C125" t="s">
        <v>49</v>
      </c>
    </row>
    <row r="126" spans="1:3" hidden="1" x14ac:dyDescent="0.25">
      <c r="A126">
        <v>50</v>
      </c>
      <c r="B126" t="s">
        <v>25</v>
      </c>
      <c r="C126" t="s">
        <v>49</v>
      </c>
    </row>
    <row r="127" spans="1:3" hidden="1" x14ac:dyDescent="0.25">
      <c r="A127">
        <v>50</v>
      </c>
      <c r="B127" t="s">
        <v>25</v>
      </c>
      <c r="C127" t="s">
        <v>38</v>
      </c>
    </row>
    <row r="128" spans="1:3" hidden="1" x14ac:dyDescent="0.25">
      <c r="A128">
        <v>50</v>
      </c>
      <c r="B128" t="s">
        <v>25</v>
      </c>
      <c r="C128" t="s">
        <v>38</v>
      </c>
    </row>
    <row r="129" spans="1:3" hidden="1" x14ac:dyDescent="0.25">
      <c r="A129">
        <v>50</v>
      </c>
      <c r="B129" t="s">
        <v>26</v>
      </c>
      <c r="C129" t="s">
        <v>36</v>
      </c>
    </row>
    <row r="130" spans="1:3" hidden="1" x14ac:dyDescent="0.25">
      <c r="A130">
        <v>50</v>
      </c>
      <c r="B130" t="s">
        <v>26</v>
      </c>
      <c r="C130" t="s">
        <v>48</v>
      </c>
    </row>
    <row r="131" spans="1:3" hidden="1" x14ac:dyDescent="0.25">
      <c r="A131">
        <v>50</v>
      </c>
      <c r="B131" t="s">
        <v>27</v>
      </c>
      <c r="C131" t="s">
        <v>41</v>
      </c>
    </row>
    <row r="132" spans="1:3" hidden="1" x14ac:dyDescent="0.25">
      <c r="A132">
        <v>50</v>
      </c>
      <c r="B132" t="s">
        <v>27</v>
      </c>
      <c r="C132" t="s">
        <v>49</v>
      </c>
    </row>
    <row r="133" spans="1:3" hidden="1" x14ac:dyDescent="0.25">
      <c r="A133">
        <v>50</v>
      </c>
      <c r="B133" t="s">
        <v>27</v>
      </c>
      <c r="C133" t="s">
        <v>49</v>
      </c>
    </row>
    <row r="134" spans="1:3" hidden="1" x14ac:dyDescent="0.25">
      <c r="A134">
        <v>50</v>
      </c>
      <c r="B134" t="s">
        <v>27</v>
      </c>
      <c r="C134" t="s">
        <v>37</v>
      </c>
    </row>
    <row r="135" spans="1:3" hidden="1" x14ac:dyDescent="0.25">
      <c r="A135">
        <v>50</v>
      </c>
      <c r="B135" t="s">
        <v>27</v>
      </c>
      <c r="C135" t="s">
        <v>38</v>
      </c>
    </row>
    <row r="136" spans="1:3" hidden="1" x14ac:dyDescent="0.25">
      <c r="A136">
        <v>50</v>
      </c>
      <c r="B136" t="s">
        <v>28</v>
      </c>
      <c r="C136" t="s">
        <v>37</v>
      </c>
    </row>
    <row r="137" spans="1:3" hidden="1" x14ac:dyDescent="0.25">
      <c r="A137">
        <v>50</v>
      </c>
      <c r="B137" t="s">
        <v>30</v>
      </c>
      <c r="C137" t="s">
        <v>38</v>
      </c>
    </row>
    <row r="138" spans="1:3" hidden="1" x14ac:dyDescent="0.25">
      <c r="A138">
        <v>50</v>
      </c>
      <c r="B138" t="s">
        <v>31</v>
      </c>
      <c r="C138" t="s">
        <v>36</v>
      </c>
    </row>
    <row r="139" spans="1:3" hidden="1" x14ac:dyDescent="0.25">
      <c r="A139">
        <v>50</v>
      </c>
      <c r="B139" t="s">
        <v>31</v>
      </c>
      <c r="C139" t="s">
        <v>48</v>
      </c>
    </row>
    <row r="140" spans="1:3" hidden="1" x14ac:dyDescent="0.25">
      <c r="A140">
        <v>50.01</v>
      </c>
      <c r="B140" t="s">
        <v>24</v>
      </c>
      <c r="C140" t="s">
        <v>36</v>
      </c>
    </row>
    <row r="141" spans="1:3" hidden="1" x14ac:dyDescent="0.25">
      <c r="A141">
        <v>50.01</v>
      </c>
      <c r="B141" t="s">
        <v>25</v>
      </c>
      <c r="C141" t="s">
        <v>48</v>
      </c>
    </row>
    <row r="142" spans="1:3" hidden="1" x14ac:dyDescent="0.25">
      <c r="A142">
        <v>50.01</v>
      </c>
      <c r="B142" t="s">
        <v>28</v>
      </c>
      <c r="C142" t="s">
        <v>49</v>
      </c>
    </row>
    <row r="143" spans="1:3" hidden="1" x14ac:dyDescent="0.25">
      <c r="A143">
        <v>50.01</v>
      </c>
      <c r="B143" t="s">
        <v>31</v>
      </c>
      <c r="C143" t="s">
        <v>38</v>
      </c>
    </row>
    <row r="144" spans="1:3" hidden="1" x14ac:dyDescent="0.25">
      <c r="A144">
        <v>50.02</v>
      </c>
      <c r="B144" t="s">
        <v>25</v>
      </c>
      <c r="C144" t="s">
        <v>37</v>
      </c>
    </row>
    <row r="145" spans="1:3" hidden="1" x14ac:dyDescent="0.25">
      <c r="A145">
        <v>50.02</v>
      </c>
      <c r="B145" t="s">
        <v>26</v>
      </c>
      <c r="C145" t="s">
        <v>47</v>
      </c>
    </row>
    <row r="146" spans="1:3" hidden="1" x14ac:dyDescent="0.25">
      <c r="A146">
        <v>50.02</v>
      </c>
      <c r="B146" t="s">
        <v>26</v>
      </c>
      <c r="C146" t="s">
        <v>48</v>
      </c>
    </row>
    <row r="147" spans="1:3" hidden="1" x14ac:dyDescent="0.25">
      <c r="A147">
        <v>50.02</v>
      </c>
      <c r="B147" t="s">
        <v>31</v>
      </c>
      <c r="C147" t="s">
        <v>36</v>
      </c>
    </row>
    <row r="148" spans="1:3" hidden="1" x14ac:dyDescent="0.25">
      <c r="A148">
        <v>50.03</v>
      </c>
      <c r="B148" t="s">
        <v>26</v>
      </c>
      <c r="C148" t="s">
        <v>38</v>
      </c>
    </row>
    <row r="149" spans="1:3" hidden="1" x14ac:dyDescent="0.25">
      <c r="A149">
        <v>50.03</v>
      </c>
      <c r="B149" t="s">
        <v>28</v>
      </c>
      <c r="C149" t="s">
        <v>36</v>
      </c>
    </row>
    <row r="150" spans="1:3" hidden="1" x14ac:dyDescent="0.25">
      <c r="A150">
        <v>50.03</v>
      </c>
      <c r="B150" t="s">
        <v>28</v>
      </c>
      <c r="C150" t="s">
        <v>36</v>
      </c>
    </row>
    <row r="151" spans="1:3" hidden="1" x14ac:dyDescent="0.25">
      <c r="A151">
        <v>50.03</v>
      </c>
      <c r="B151" t="s">
        <v>28</v>
      </c>
      <c r="C151" t="s">
        <v>38</v>
      </c>
    </row>
    <row r="152" spans="1:3" hidden="1" x14ac:dyDescent="0.25">
      <c r="A152">
        <v>50.03</v>
      </c>
      <c r="B152" t="s">
        <v>29</v>
      </c>
      <c r="C152" t="s">
        <v>38</v>
      </c>
    </row>
    <row r="153" spans="1:3" hidden="1" x14ac:dyDescent="0.25">
      <c r="A153">
        <v>50.04</v>
      </c>
      <c r="B153" t="s">
        <v>26</v>
      </c>
      <c r="C153" t="s">
        <v>49</v>
      </c>
    </row>
    <row r="154" spans="1:3" hidden="1" x14ac:dyDescent="0.25">
      <c r="A154">
        <v>50.04</v>
      </c>
      <c r="B154" t="s">
        <v>27</v>
      </c>
      <c r="C154" t="s">
        <v>48</v>
      </c>
    </row>
    <row r="155" spans="1:3" hidden="1" x14ac:dyDescent="0.25">
      <c r="A155">
        <v>50.04</v>
      </c>
      <c r="B155" t="s">
        <v>28</v>
      </c>
      <c r="C155" t="s">
        <v>36</v>
      </c>
    </row>
    <row r="156" spans="1:3" hidden="1" x14ac:dyDescent="0.25">
      <c r="A156">
        <v>50.04</v>
      </c>
      <c r="B156" t="s">
        <v>31</v>
      </c>
      <c r="C156" t="s">
        <v>48</v>
      </c>
    </row>
    <row r="157" spans="1:3" hidden="1" x14ac:dyDescent="0.25">
      <c r="A157">
        <v>50.04</v>
      </c>
      <c r="B157" t="s">
        <v>31</v>
      </c>
      <c r="C157" t="s">
        <v>49</v>
      </c>
    </row>
    <row r="158" spans="1:3" hidden="1" x14ac:dyDescent="0.25">
      <c r="A158">
        <v>50.05</v>
      </c>
      <c r="B158" t="s">
        <v>26</v>
      </c>
      <c r="C158" t="s">
        <v>36</v>
      </c>
    </row>
    <row r="159" spans="1:3" hidden="1" x14ac:dyDescent="0.25">
      <c r="A159">
        <v>50.05</v>
      </c>
      <c r="B159" t="s">
        <v>26</v>
      </c>
      <c r="C159" t="s">
        <v>49</v>
      </c>
    </row>
    <row r="160" spans="1:3" hidden="1" x14ac:dyDescent="0.25">
      <c r="A160">
        <v>50.05</v>
      </c>
      <c r="B160" t="s">
        <v>28</v>
      </c>
      <c r="C160" t="s">
        <v>49</v>
      </c>
    </row>
    <row r="161" spans="1:3" hidden="1" x14ac:dyDescent="0.25">
      <c r="A161">
        <v>50.05</v>
      </c>
      <c r="B161" t="s">
        <v>30</v>
      </c>
      <c r="C161" t="s">
        <v>36</v>
      </c>
    </row>
    <row r="162" spans="1:3" hidden="1" x14ac:dyDescent="0.25">
      <c r="A162">
        <v>50.05</v>
      </c>
      <c r="B162" t="s">
        <v>31</v>
      </c>
      <c r="C162" t="s">
        <v>36</v>
      </c>
    </row>
    <row r="163" spans="1:3" hidden="1" x14ac:dyDescent="0.25">
      <c r="A163">
        <v>50.07</v>
      </c>
      <c r="B163" t="s">
        <v>25</v>
      </c>
      <c r="C163" t="s">
        <v>49</v>
      </c>
    </row>
    <row r="164" spans="1:3" hidden="1" x14ac:dyDescent="0.25">
      <c r="A164">
        <v>50.07</v>
      </c>
      <c r="B164" t="s">
        <v>28</v>
      </c>
      <c r="C164" t="s">
        <v>38</v>
      </c>
    </row>
    <row r="165" spans="1:3" hidden="1" x14ac:dyDescent="0.25">
      <c r="A165">
        <v>50.07</v>
      </c>
      <c r="B165" t="s">
        <v>30</v>
      </c>
      <c r="C165" t="s">
        <v>36</v>
      </c>
    </row>
    <row r="166" spans="1:3" hidden="1" x14ac:dyDescent="0.25">
      <c r="A166">
        <v>50.07</v>
      </c>
      <c r="B166" t="s">
        <v>30</v>
      </c>
      <c r="C166" t="s">
        <v>38</v>
      </c>
    </row>
    <row r="167" spans="1:3" hidden="1" x14ac:dyDescent="0.25">
      <c r="A167">
        <v>50.09</v>
      </c>
      <c r="B167" t="s">
        <v>30</v>
      </c>
      <c r="C167" t="s">
        <v>48</v>
      </c>
    </row>
    <row r="168" spans="1:3" hidden="1" x14ac:dyDescent="0.25">
      <c r="A168">
        <v>50.1</v>
      </c>
      <c r="B168" t="s">
        <v>31</v>
      </c>
      <c r="C168" t="s">
        <v>36</v>
      </c>
    </row>
    <row r="169" spans="1:3" hidden="1" x14ac:dyDescent="0.25">
      <c r="A169">
        <v>50.18</v>
      </c>
      <c r="B169" t="s">
        <v>30</v>
      </c>
      <c r="C169" t="s">
        <v>49</v>
      </c>
    </row>
    <row r="170" spans="1:3" hidden="1" x14ac:dyDescent="0.25">
      <c r="A170">
        <v>52.72</v>
      </c>
      <c r="B170" t="s">
        <v>27</v>
      </c>
      <c r="C170" t="s">
        <v>41</v>
      </c>
    </row>
    <row r="171" spans="1:3" hidden="1" x14ac:dyDescent="0.25">
      <c r="A171">
        <v>54.11</v>
      </c>
      <c r="B171" t="s">
        <v>28</v>
      </c>
      <c r="C171" t="s">
        <v>37</v>
      </c>
    </row>
    <row r="172" spans="1:3" hidden="1" x14ac:dyDescent="0.25">
      <c r="A172">
        <v>54.71</v>
      </c>
      <c r="B172" t="s">
        <v>31</v>
      </c>
      <c r="C172" t="s">
        <v>48</v>
      </c>
    </row>
    <row r="173" spans="1:3" hidden="1" x14ac:dyDescent="0.25">
      <c r="A173">
        <v>54.85</v>
      </c>
      <c r="B173" t="s">
        <v>25</v>
      </c>
      <c r="C173" t="s">
        <v>35</v>
      </c>
    </row>
    <row r="174" spans="1:3" hidden="1" x14ac:dyDescent="0.25">
      <c r="A174">
        <v>55.55</v>
      </c>
      <c r="B174" t="s">
        <v>27</v>
      </c>
      <c r="C174" t="s">
        <v>39</v>
      </c>
    </row>
    <row r="175" spans="1:3" hidden="1" x14ac:dyDescent="0.25">
      <c r="A175">
        <v>59</v>
      </c>
      <c r="B175" t="s">
        <v>31</v>
      </c>
      <c r="C175" t="s">
        <v>35</v>
      </c>
    </row>
    <row r="176" spans="1:3" hidden="1" x14ac:dyDescent="0.25">
      <c r="A176">
        <v>59.09</v>
      </c>
      <c r="B176" t="s">
        <v>25</v>
      </c>
      <c r="C176" t="s">
        <v>49</v>
      </c>
    </row>
    <row r="177" spans="1:3" hidden="1" x14ac:dyDescent="0.25">
      <c r="A177">
        <v>60</v>
      </c>
      <c r="B177" t="s">
        <v>31</v>
      </c>
      <c r="C177" t="s">
        <v>38</v>
      </c>
    </row>
    <row r="178" spans="1:3" hidden="1" x14ac:dyDescent="0.25">
      <c r="A178">
        <v>60.01</v>
      </c>
      <c r="B178" t="s">
        <v>28</v>
      </c>
      <c r="C178" t="s">
        <v>38</v>
      </c>
    </row>
    <row r="179" spans="1:3" hidden="1" x14ac:dyDescent="0.25">
      <c r="A179">
        <v>60.02</v>
      </c>
      <c r="B179" t="s">
        <v>31</v>
      </c>
      <c r="C179" t="s">
        <v>48</v>
      </c>
    </row>
    <row r="180" spans="1:3" hidden="1" x14ac:dyDescent="0.25">
      <c r="A180">
        <v>60.04</v>
      </c>
      <c r="B180" t="s">
        <v>28</v>
      </c>
      <c r="C180" t="s">
        <v>49</v>
      </c>
    </row>
    <row r="181" spans="1:3" hidden="1" x14ac:dyDescent="0.25">
      <c r="A181">
        <v>60.04</v>
      </c>
      <c r="B181" t="s">
        <v>31</v>
      </c>
      <c r="C181" t="s">
        <v>49</v>
      </c>
    </row>
    <row r="182" spans="1:3" hidden="1" x14ac:dyDescent="0.25">
      <c r="A182">
        <v>60.95</v>
      </c>
      <c r="B182" t="s">
        <v>25</v>
      </c>
      <c r="C182" t="s">
        <v>49</v>
      </c>
    </row>
    <row r="183" spans="1:3" hidden="1" x14ac:dyDescent="0.25">
      <c r="A183">
        <v>65.040000000000006</v>
      </c>
      <c r="B183" t="s">
        <v>30</v>
      </c>
      <c r="C183" t="s">
        <v>35</v>
      </c>
    </row>
    <row r="184" spans="1:3" hidden="1" x14ac:dyDescent="0.25">
      <c r="A184">
        <v>65.900000000000006</v>
      </c>
      <c r="B184" t="s">
        <v>28</v>
      </c>
      <c r="C184" t="s">
        <v>48</v>
      </c>
    </row>
    <row r="185" spans="1:3" hidden="1" x14ac:dyDescent="0.25">
      <c r="A185">
        <v>65.91</v>
      </c>
      <c r="B185" t="s">
        <v>25</v>
      </c>
      <c r="C185" t="s">
        <v>49</v>
      </c>
    </row>
    <row r="186" spans="1:3" hidden="1" x14ac:dyDescent="0.25">
      <c r="A186">
        <v>65.92</v>
      </c>
      <c r="B186" t="s">
        <v>28</v>
      </c>
      <c r="C186" t="s">
        <v>48</v>
      </c>
    </row>
    <row r="187" spans="1:3" hidden="1" x14ac:dyDescent="0.25">
      <c r="A187">
        <v>65.92</v>
      </c>
      <c r="B187" t="s">
        <v>31</v>
      </c>
      <c r="C187" t="s">
        <v>49</v>
      </c>
    </row>
    <row r="188" spans="1:3" hidden="1" x14ac:dyDescent="0.25">
      <c r="A188">
        <v>65.930000000000007</v>
      </c>
      <c r="B188" t="s">
        <v>25</v>
      </c>
      <c r="C188" t="s">
        <v>38</v>
      </c>
    </row>
    <row r="189" spans="1:3" hidden="1" x14ac:dyDescent="0.25">
      <c r="A189">
        <v>65.930000000000007</v>
      </c>
      <c r="B189" t="s">
        <v>26</v>
      </c>
      <c r="C189" t="s">
        <v>48</v>
      </c>
    </row>
    <row r="190" spans="1:3" hidden="1" x14ac:dyDescent="0.25">
      <c r="A190">
        <v>65.94</v>
      </c>
      <c r="B190" t="s">
        <v>31</v>
      </c>
      <c r="C190" t="s">
        <v>37</v>
      </c>
    </row>
    <row r="191" spans="1:3" hidden="1" x14ac:dyDescent="0.25">
      <c r="A191">
        <v>65.95</v>
      </c>
      <c r="B191" t="s">
        <v>26</v>
      </c>
      <c r="C191" t="s">
        <v>36</v>
      </c>
    </row>
    <row r="192" spans="1:3" hidden="1" x14ac:dyDescent="0.25">
      <c r="A192">
        <v>70</v>
      </c>
      <c r="B192" t="s">
        <v>25</v>
      </c>
      <c r="C192" t="s">
        <v>35</v>
      </c>
    </row>
    <row r="193" spans="1:3" hidden="1" x14ac:dyDescent="0.25">
      <c r="A193">
        <v>70</v>
      </c>
      <c r="B193" t="s">
        <v>25</v>
      </c>
      <c r="C193" t="s">
        <v>48</v>
      </c>
    </row>
    <row r="194" spans="1:3" hidden="1" x14ac:dyDescent="0.25">
      <c r="A194">
        <v>70</v>
      </c>
      <c r="B194" t="s">
        <v>28</v>
      </c>
      <c r="C194" t="s">
        <v>36</v>
      </c>
    </row>
    <row r="195" spans="1:3" hidden="1" x14ac:dyDescent="0.25">
      <c r="A195">
        <v>70</v>
      </c>
      <c r="B195" t="s">
        <v>31</v>
      </c>
      <c r="C195" t="s">
        <v>36</v>
      </c>
    </row>
    <row r="196" spans="1:3" hidden="1" x14ac:dyDescent="0.25">
      <c r="A196">
        <v>70.02</v>
      </c>
      <c r="B196" t="s">
        <v>25</v>
      </c>
      <c r="C196" t="s">
        <v>36</v>
      </c>
    </row>
    <row r="197" spans="1:3" hidden="1" x14ac:dyDescent="0.25">
      <c r="A197">
        <v>70.069999999999993</v>
      </c>
      <c r="B197" t="s">
        <v>30</v>
      </c>
      <c r="C197" t="s">
        <v>52</v>
      </c>
    </row>
    <row r="198" spans="1:3" hidden="1" x14ac:dyDescent="0.25">
      <c r="A198">
        <v>70.09</v>
      </c>
      <c r="B198" t="s">
        <v>31</v>
      </c>
      <c r="C198" t="s">
        <v>49</v>
      </c>
    </row>
    <row r="199" spans="1:3" hidden="1" x14ac:dyDescent="0.25">
      <c r="A199">
        <v>70.92</v>
      </c>
      <c r="B199" t="s">
        <v>31</v>
      </c>
      <c r="C199" t="s">
        <v>49</v>
      </c>
    </row>
    <row r="200" spans="1:3" hidden="1" x14ac:dyDescent="0.25">
      <c r="A200">
        <v>72.05</v>
      </c>
      <c r="B200" t="s">
        <v>28</v>
      </c>
      <c r="C200" t="s">
        <v>38</v>
      </c>
    </row>
    <row r="201" spans="1:3" hidden="1" x14ac:dyDescent="0.25">
      <c r="A201">
        <v>78.56</v>
      </c>
      <c r="B201" t="s">
        <v>30</v>
      </c>
      <c r="C201" t="s">
        <v>49</v>
      </c>
    </row>
    <row r="202" spans="1:3" hidden="1" x14ac:dyDescent="0.25">
      <c r="A202">
        <v>80</v>
      </c>
      <c r="B202" t="s">
        <v>27</v>
      </c>
      <c r="C202" t="s">
        <v>38</v>
      </c>
    </row>
    <row r="203" spans="1:3" hidden="1" x14ac:dyDescent="0.25">
      <c r="A203">
        <v>80</v>
      </c>
      <c r="B203" t="s">
        <v>29</v>
      </c>
      <c r="C203" t="s">
        <v>35</v>
      </c>
    </row>
    <row r="204" spans="1:3" hidden="1" x14ac:dyDescent="0.25">
      <c r="A204">
        <v>80</v>
      </c>
      <c r="B204" t="s">
        <v>30</v>
      </c>
      <c r="C204" t="s">
        <v>38</v>
      </c>
    </row>
    <row r="205" spans="1:3" hidden="1" x14ac:dyDescent="0.25">
      <c r="A205">
        <v>80.02</v>
      </c>
      <c r="B205" t="s">
        <v>27</v>
      </c>
      <c r="C205" t="s">
        <v>41</v>
      </c>
    </row>
    <row r="206" spans="1:3" hidden="1" x14ac:dyDescent="0.25">
      <c r="A206">
        <v>80.98</v>
      </c>
      <c r="B206" t="s">
        <v>28</v>
      </c>
      <c r="C206" t="s">
        <v>49</v>
      </c>
    </row>
    <row r="207" spans="1:3" hidden="1" x14ac:dyDescent="0.25">
      <c r="A207">
        <v>82.8</v>
      </c>
      <c r="B207" t="s">
        <v>27</v>
      </c>
      <c r="C207" t="s">
        <v>48</v>
      </c>
    </row>
    <row r="208" spans="1:3" x14ac:dyDescent="0.25">
      <c r="A208">
        <v>83.14</v>
      </c>
      <c r="B208" t="s">
        <v>25</v>
      </c>
      <c r="C208" t="s">
        <v>33</v>
      </c>
    </row>
    <row r="209" spans="1:3" hidden="1" x14ac:dyDescent="0.25">
      <c r="A209">
        <v>86.5</v>
      </c>
      <c r="B209" t="s">
        <v>27</v>
      </c>
      <c r="C209" t="s">
        <v>35</v>
      </c>
    </row>
    <row r="210" spans="1:3" hidden="1" x14ac:dyDescent="0.25">
      <c r="A210">
        <v>88.63</v>
      </c>
      <c r="B210" t="s">
        <v>30</v>
      </c>
      <c r="C210" t="s">
        <v>37</v>
      </c>
    </row>
    <row r="211" spans="1:3" hidden="1" x14ac:dyDescent="0.25">
      <c r="A211">
        <v>89.41</v>
      </c>
      <c r="B211" t="s">
        <v>30</v>
      </c>
      <c r="C211" t="s">
        <v>35</v>
      </c>
    </row>
    <row r="212" spans="1:3" hidden="1" x14ac:dyDescent="0.25">
      <c r="A212">
        <v>90</v>
      </c>
      <c r="B212" t="s">
        <v>26</v>
      </c>
      <c r="C212" t="s">
        <v>35</v>
      </c>
    </row>
    <row r="213" spans="1:3" hidden="1" x14ac:dyDescent="0.25">
      <c r="A213">
        <v>95.31</v>
      </c>
      <c r="B213" t="s">
        <v>26</v>
      </c>
      <c r="C213" t="s">
        <v>35</v>
      </c>
    </row>
    <row r="214" spans="1:3" hidden="1" x14ac:dyDescent="0.25">
      <c r="A214">
        <v>98.41</v>
      </c>
      <c r="B214" t="s">
        <v>28</v>
      </c>
      <c r="C214" t="s">
        <v>38</v>
      </c>
    </row>
    <row r="215" spans="1:3" hidden="1" x14ac:dyDescent="0.25">
      <c r="A215">
        <v>98.43</v>
      </c>
      <c r="B215" t="s">
        <v>28</v>
      </c>
      <c r="C215" t="s">
        <v>37</v>
      </c>
    </row>
    <row r="216" spans="1:3" hidden="1" x14ac:dyDescent="0.25">
      <c r="A216">
        <v>98.49</v>
      </c>
      <c r="B216" t="s">
        <v>26</v>
      </c>
      <c r="C216" t="s">
        <v>37</v>
      </c>
    </row>
    <row r="217" spans="1:3" hidden="1" x14ac:dyDescent="0.25">
      <c r="A217">
        <v>98.85</v>
      </c>
      <c r="B217" t="s">
        <v>27</v>
      </c>
      <c r="C217" t="s">
        <v>36</v>
      </c>
    </row>
    <row r="218" spans="1:3" hidden="1" x14ac:dyDescent="0.25">
      <c r="A218">
        <v>98.87</v>
      </c>
      <c r="B218" t="s">
        <v>26</v>
      </c>
      <c r="C218" t="s">
        <v>46</v>
      </c>
    </row>
    <row r="219" spans="1:3" hidden="1" x14ac:dyDescent="0.25">
      <c r="A219">
        <v>100</v>
      </c>
      <c r="B219" t="s">
        <v>24</v>
      </c>
      <c r="C219" t="s">
        <v>37</v>
      </c>
    </row>
    <row r="220" spans="1:3" hidden="1" x14ac:dyDescent="0.25">
      <c r="A220">
        <v>100</v>
      </c>
      <c r="B220" t="s">
        <v>25</v>
      </c>
      <c r="C220" t="s">
        <v>36</v>
      </c>
    </row>
    <row r="221" spans="1:3" hidden="1" x14ac:dyDescent="0.25">
      <c r="A221">
        <v>100</v>
      </c>
      <c r="B221" t="s">
        <v>25</v>
      </c>
      <c r="C221" t="s">
        <v>47</v>
      </c>
    </row>
    <row r="222" spans="1:3" hidden="1" x14ac:dyDescent="0.25">
      <c r="A222">
        <v>100</v>
      </c>
      <c r="B222" t="s">
        <v>25</v>
      </c>
      <c r="C222" t="s">
        <v>38</v>
      </c>
    </row>
    <row r="223" spans="1:3" hidden="1" x14ac:dyDescent="0.25">
      <c r="A223">
        <v>100</v>
      </c>
      <c r="B223" t="s">
        <v>25</v>
      </c>
      <c r="C223" t="s">
        <v>38</v>
      </c>
    </row>
    <row r="224" spans="1:3" hidden="1" x14ac:dyDescent="0.25">
      <c r="A224">
        <v>100</v>
      </c>
      <c r="B224" t="s">
        <v>26</v>
      </c>
      <c r="C224" t="s">
        <v>49</v>
      </c>
    </row>
    <row r="225" spans="1:3" hidden="1" x14ac:dyDescent="0.25">
      <c r="A225">
        <v>100</v>
      </c>
      <c r="B225" t="s">
        <v>26</v>
      </c>
      <c r="C225" t="s">
        <v>49</v>
      </c>
    </row>
    <row r="226" spans="1:3" hidden="1" x14ac:dyDescent="0.25">
      <c r="A226">
        <v>100</v>
      </c>
      <c r="B226" t="s">
        <v>26</v>
      </c>
      <c r="C226" t="s">
        <v>38</v>
      </c>
    </row>
    <row r="227" spans="1:3" hidden="1" x14ac:dyDescent="0.25">
      <c r="A227">
        <v>100</v>
      </c>
      <c r="B227" t="s">
        <v>28</v>
      </c>
      <c r="C227" t="s">
        <v>52</v>
      </c>
    </row>
    <row r="228" spans="1:3" hidden="1" x14ac:dyDescent="0.25">
      <c r="A228">
        <v>100</v>
      </c>
      <c r="B228" t="s">
        <v>28</v>
      </c>
      <c r="C228" t="s">
        <v>49</v>
      </c>
    </row>
    <row r="229" spans="1:3" hidden="1" x14ac:dyDescent="0.25">
      <c r="A229">
        <v>100</v>
      </c>
      <c r="B229" t="s">
        <v>28</v>
      </c>
      <c r="C229" t="s">
        <v>38</v>
      </c>
    </row>
    <row r="230" spans="1:3" hidden="1" x14ac:dyDescent="0.25">
      <c r="A230">
        <v>100</v>
      </c>
      <c r="B230" t="s">
        <v>30</v>
      </c>
      <c r="C230" t="s">
        <v>49</v>
      </c>
    </row>
    <row r="231" spans="1:3" hidden="1" x14ac:dyDescent="0.25">
      <c r="A231">
        <v>100</v>
      </c>
      <c r="B231" t="s">
        <v>30</v>
      </c>
      <c r="C231" t="s">
        <v>49</v>
      </c>
    </row>
    <row r="232" spans="1:3" hidden="1" x14ac:dyDescent="0.25">
      <c r="A232">
        <v>100</v>
      </c>
      <c r="B232" t="s">
        <v>30</v>
      </c>
      <c r="C232" t="s">
        <v>49</v>
      </c>
    </row>
    <row r="233" spans="1:3" hidden="1" x14ac:dyDescent="0.25">
      <c r="A233">
        <v>100</v>
      </c>
      <c r="B233" t="s">
        <v>30</v>
      </c>
      <c r="C233" t="s">
        <v>49</v>
      </c>
    </row>
    <row r="234" spans="1:3" hidden="1" x14ac:dyDescent="0.25">
      <c r="A234">
        <v>100</v>
      </c>
      <c r="B234" t="s">
        <v>30</v>
      </c>
      <c r="C234" t="s">
        <v>49</v>
      </c>
    </row>
    <row r="235" spans="1:3" hidden="1" x14ac:dyDescent="0.25">
      <c r="A235">
        <v>100</v>
      </c>
      <c r="B235" t="s">
        <v>30</v>
      </c>
      <c r="C235" t="s">
        <v>37</v>
      </c>
    </row>
    <row r="236" spans="1:3" hidden="1" x14ac:dyDescent="0.25">
      <c r="A236">
        <v>100</v>
      </c>
      <c r="B236" t="s">
        <v>31</v>
      </c>
      <c r="C236" t="s">
        <v>48</v>
      </c>
    </row>
    <row r="237" spans="1:3" hidden="1" x14ac:dyDescent="0.25">
      <c r="A237">
        <v>100</v>
      </c>
      <c r="B237" t="s">
        <v>31</v>
      </c>
      <c r="C237" t="s">
        <v>37</v>
      </c>
    </row>
    <row r="238" spans="1:3" hidden="1" x14ac:dyDescent="0.25">
      <c r="A238">
        <v>100.01</v>
      </c>
      <c r="B238" t="s">
        <v>25</v>
      </c>
      <c r="C238" t="s">
        <v>37</v>
      </c>
    </row>
    <row r="239" spans="1:3" hidden="1" x14ac:dyDescent="0.25">
      <c r="A239">
        <v>100.01</v>
      </c>
      <c r="B239" t="s">
        <v>25</v>
      </c>
      <c r="C239" t="s">
        <v>37</v>
      </c>
    </row>
    <row r="240" spans="1:3" hidden="1" x14ac:dyDescent="0.25">
      <c r="A240">
        <v>100.01</v>
      </c>
      <c r="B240" t="s">
        <v>26</v>
      </c>
      <c r="C240" t="s">
        <v>37</v>
      </c>
    </row>
    <row r="241" spans="1:3" hidden="1" x14ac:dyDescent="0.25">
      <c r="A241">
        <v>100.01</v>
      </c>
      <c r="B241" t="s">
        <v>26</v>
      </c>
      <c r="C241" t="s">
        <v>38</v>
      </c>
    </row>
    <row r="242" spans="1:3" hidden="1" x14ac:dyDescent="0.25">
      <c r="A242">
        <v>100.01</v>
      </c>
      <c r="B242" t="s">
        <v>27</v>
      </c>
      <c r="C242" t="s">
        <v>37</v>
      </c>
    </row>
    <row r="243" spans="1:3" hidden="1" x14ac:dyDescent="0.25">
      <c r="A243">
        <v>100.01</v>
      </c>
      <c r="B243" t="s">
        <v>28</v>
      </c>
      <c r="C243" t="s">
        <v>47</v>
      </c>
    </row>
    <row r="244" spans="1:3" hidden="1" x14ac:dyDescent="0.25">
      <c r="A244">
        <v>100.01</v>
      </c>
      <c r="B244" t="s">
        <v>30</v>
      </c>
      <c r="C244" t="s">
        <v>37</v>
      </c>
    </row>
    <row r="245" spans="1:3" hidden="1" x14ac:dyDescent="0.25">
      <c r="A245">
        <v>100.01</v>
      </c>
      <c r="B245" t="s">
        <v>30</v>
      </c>
      <c r="C245" t="s">
        <v>37</v>
      </c>
    </row>
    <row r="246" spans="1:3" hidden="1" x14ac:dyDescent="0.25">
      <c r="A246">
        <v>100.02</v>
      </c>
      <c r="B246" t="s">
        <v>25</v>
      </c>
      <c r="C246" t="s">
        <v>48</v>
      </c>
    </row>
    <row r="247" spans="1:3" hidden="1" x14ac:dyDescent="0.25">
      <c r="A247">
        <v>100.02</v>
      </c>
      <c r="B247" t="s">
        <v>26</v>
      </c>
      <c r="C247" t="s">
        <v>45</v>
      </c>
    </row>
    <row r="248" spans="1:3" hidden="1" x14ac:dyDescent="0.25">
      <c r="A248">
        <v>100.02</v>
      </c>
      <c r="B248" t="s">
        <v>26</v>
      </c>
      <c r="C248" t="s">
        <v>46</v>
      </c>
    </row>
    <row r="249" spans="1:3" hidden="1" x14ac:dyDescent="0.25">
      <c r="A249">
        <v>100.02</v>
      </c>
      <c r="B249" t="s">
        <v>28</v>
      </c>
      <c r="C249" t="s">
        <v>48</v>
      </c>
    </row>
    <row r="250" spans="1:3" hidden="1" x14ac:dyDescent="0.25">
      <c r="A250">
        <v>100.02</v>
      </c>
      <c r="B250" t="s">
        <v>29</v>
      </c>
      <c r="C250" t="s">
        <v>36</v>
      </c>
    </row>
    <row r="251" spans="1:3" hidden="1" x14ac:dyDescent="0.25">
      <c r="A251">
        <v>100.02</v>
      </c>
      <c r="B251" t="s">
        <v>30</v>
      </c>
      <c r="C251" t="s">
        <v>49</v>
      </c>
    </row>
    <row r="252" spans="1:3" hidden="1" x14ac:dyDescent="0.25">
      <c r="A252">
        <v>100.02</v>
      </c>
      <c r="B252" t="s">
        <v>30</v>
      </c>
      <c r="C252" t="s">
        <v>37</v>
      </c>
    </row>
    <row r="253" spans="1:3" hidden="1" x14ac:dyDescent="0.25">
      <c r="A253">
        <v>100.04</v>
      </c>
      <c r="B253" t="s">
        <v>25</v>
      </c>
      <c r="C253" t="s">
        <v>49</v>
      </c>
    </row>
    <row r="254" spans="1:3" hidden="1" x14ac:dyDescent="0.25">
      <c r="A254">
        <v>100.04</v>
      </c>
      <c r="B254" t="s">
        <v>25</v>
      </c>
      <c r="C254" t="s">
        <v>37</v>
      </c>
    </row>
    <row r="255" spans="1:3" hidden="1" x14ac:dyDescent="0.25">
      <c r="A255">
        <v>100.04</v>
      </c>
      <c r="B255" t="s">
        <v>26</v>
      </c>
      <c r="C255" t="s">
        <v>47</v>
      </c>
    </row>
    <row r="256" spans="1:3" hidden="1" x14ac:dyDescent="0.25">
      <c r="A256">
        <v>100.04</v>
      </c>
      <c r="B256" t="s">
        <v>26</v>
      </c>
      <c r="C256" t="s">
        <v>37</v>
      </c>
    </row>
    <row r="257" spans="1:3" hidden="1" x14ac:dyDescent="0.25">
      <c r="A257">
        <v>100.06</v>
      </c>
      <c r="B257" t="s">
        <v>25</v>
      </c>
      <c r="C257" t="s">
        <v>37</v>
      </c>
    </row>
    <row r="258" spans="1:3" hidden="1" x14ac:dyDescent="0.25">
      <c r="A258">
        <v>100.06</v>
      </c>
      <c r="B258" t="s">
        <v>26</v>
      </c>
      <c r="C258" t="s">
        <v>38</v>
      </c>
    </row>
    <row r="259" spans="1:3" hidden="1" x14ac:dyDescent="0.25">
      <c r="A259">
        <v>100.06</v>
      </c>
      <c r="B259" t="s">
        <v>30</v>
      </c>
      <c r="C259" t="s">
        <v>36</v>
      </c>
    </row>
    <row r="260" spans="1:3" hidden="1" x14ac:dyDescent="0.25">
      <c r="A260">
        <v>100.06</v>
      </c>
      <c r="B260" t="s">
        <v>30</v>
      </c>
      <c r="C260" t="s">
        <v>37</v>
      </c>
    </row>
    <row r="261" spans="1:3" hidden="1" x14ac:dyDescent="0.25">
      <c r="A261">
        <v>100.08</v>
      </c>
      <c r="B261" t="s">
        <v>31</v>
      </c>
      <c r="C261" t="s">
        <v>38</v>
      </c>
    </row>
    <row r="262" spans="1:3" hidden="1" x14ac:dyDescent="0.25">
      <c r="A262">
        <v>100.09</v>
      </c>
      <c r="B262" t="s">
        <v>26</v>
      </c>
      <c r="C262" t="s">
        <v>36</v>
      </c>
    </row>
    <row r="263" spans="1:3" hidden="1" x14ac:dyDescent="0.25">
      <c r="A263">
        <v>100.13</v>
      </c>
      <c r="B263" t="s">
        <v>31</v>
      </c>
      <c r="C263" t="s">
        <v>36</v>
      </c>
    </row>
    <row r="264" spans="1:3" x14ac:dyDescent="0.25">
      <c r="A264">
        <v>104.95</v>
      </c>
      <c r="B264" t="s">
        <v>24</v>
      </c>
      <c r="C264" t="s">
        <v>33</v>
      </c>
    </row>
    <row r="265" spans="1:3" hidden="1" x14ac:dyDescent="0.25">
      <c r="A265">
        <v>107.25</v>
      </c>
      <c r="B265" t="s">
        <v>24</v>
      </c>
      <c r="C265" t="s">
        <v>35</v>
      </c>
    </row>
    <row r="266" spans="1:3" hidden="1" x14ac:dyDescent="0.25">
      <c r="A266">
        <v>107.25</v>
      </c>
      <c r="B266" t="s">
        <v>24</v>
      </c>
      <c r="C266" t="s">
        <v>35</v>
      </c>
    </row>
    <row r="267" spans="1:3" x14ac:dyDescent="0.25">
      <c r="A267">
        <v>108.34</v>
      </c>
      <c r="B267" t="s">
        <v>27</v>
      </c>
      <c r="C267" t="s">
        <v>33</v>
      </c>
    </row>
    <row r="268" spans="1:3" hidden="1" x14ac:dyDescent="0.25">
      <c r="A268">
        <v>119.95</v>
      </c>
      <c r="B268" t="s">
        <v>25</v>
      </c>
      <c r="C268" t="s">
        <v>38</v>
      </c>
    </row>
    <row r="269" spans="1:3" hidden="1" x14ac:dyDescent="0.25">
      <c r="A269">
        <v>120.01</v>
      </c>
      <c r="B269" t="s">
        <v>26</v>
      </c>
      <c r="C269" t="s">
        <v>49</v>
      </c>
    </row>
    <row r="270" spans="1:3" hidden="1" x14ac:dyDescent="0.25">
      <c r="A270">
        <v>120.18</v>
      </c>
      <c r="B270" t="s">
        <v>26</v>
      </c>
      <c r="C270" t="s">
        <v>37</v>
      </c>
    </row>
    <row r="271" spans="1:3" x14ac:dyDescent="0.25">
      <c r="A271">
        <v>120.93</v>
      </c>
      <c r="B271" t="s">
        <v>27</v>
      </c>
      <c r="C271" t="s">
        <v>33</v>
      </c>
    </row>
    <row r="272" spans="1:3" hidden="1" x14ac:dyDescent="0.25">
      <c r="A272">
        <v>127.8</v>
      </c>
      <c r="B272" t="s">
        <v>25</v>
      </c>
      <c r="C272" t="s">
        <v>50</v>
      </c>
    </row>
    <row r="273" spans="1:3" hidden="1" x14ac:dyDescent="0.25">
      <c r="A273">
        <v>128.02000000000001</v>
      </c>
      <c r="B273" t="s">
        <v>27</v>
      </c>
      <c r="C273" t="s">
        <v>49</v>
      </c>
    </row>
    <row r="274" spans="1:3" x14ac:dyDescent="0.25">
      <c r="A274">
        <v>128.72</v>
      </c>
      <c r="B274" t="s">
        <v>30</v>
      </c>
      <c r="C274" t="s">
        <v>33</v>
      </c>
    </row>
    <row r="275" spans="1:3" x14ac:dyDescent="0.25">
      <c r="A275">
        <v>134.99</v>
      </c>
      <c r="B275" t="s">
        <v>25</v>
      </c>
      <c r="C275" t="s">
        <v>42</v>
      </c>
    </row>
    <row r="276" spans="1:3" x14ac:dyDescent="0.25">
      <c r="A276">
        <v>136.27000000000001</v>
      </c>
      <c r="B276" t="s">
        <v>26</v>
      </c>
      <c r="C276" t="s">
        <v>33</v>
      </c>
    </row>
    <row r="277" spans="1:3" hidden="1" x14ac:dyDescent="0.25">
      <c r="A277">
        <v>136.88</v>
      </c>
      <c r="B277" t="s">
        <v>31</v>
      </c>
      <c r="C277" t="s">
        <v>36</v>
      </c>
    </row>
    <row r="278" spans="1:3" hidden="1" x14ac:dyDescent="0.25">
      <c r="A278">
        <v>138.66</v>
      </c>
      <c r="B278" t="s">
        <v>31</v>
      </c>
      <c r="C278" t="s">
        <v>37</v>
      </c>
    </row>
    <row r="279" spans="1:3" x14ac:dyDescent="0.25">
      <c r="A279">
        <v>141.44</v>
      </c>
      <c r="B279" t="s">
        <v>27</v>
      </c>
      <c r="C279" t="s">
        <v>33</v>
      </c>
    </row>
    <row r="280" spans="1:3" x14ac:dyDescent="0.25">
      <c r="A280">
        <v>143.80000000000001</v>
      </c>
      <c r="B280" t="s">
        <v>26</v>
      </c>
      <c r="C280" t="s">
        <v>33</v>
      </c>
    </row>
    <row r="281" spans="1:3" hidden="1" x14ac:dyDescent="0.25">
      <c r="A281">
        <v>147.44999999999999</v>
      </c>
      <c r="B281" t="s">
        <v>31</v>
      </c>
      <c r="C281" t="s">
        <v>36</v>
      </c>
    </row>
    <row r="282" spans="1:3" hidden="1" x14ac:dyDescent="0.25">
      <c r="A282">
        <v>148.86000000000001</v>
      </c>
      <c r="B282" t="s">
        <v>26</v>
      </c>
      <c r="C282" t="s">
        <v>35</v>
      </c>
    </row>
    <row r="283" spans="1:3" hidden="1" x14ac:dyDescent="0.25">
      <c r="A283">
        <v>150</v>
      </c>
      <c r="B283" t="s">
        <v>25</v>
      </c>
      <c r="C283" t="s">
        <v>49</v>
      </c>
    </row>
    <row r="284" spans="1:3" hidden="1" x14ac:dyDescent="0.25">
      <c r="A284">
        <v>150</v>
      </c>
      <c r="B284" t="s">
        <v>27</v>
      </c>
      <c r="C284" t="s">
        <v>41</v>
      </c>
    </row>
    <row r="285" spans="1:3" hidden="1" x14ac:dyDescent="0.25">
      <c r="A285">
        <v>150</v>
      </c>
      <c r="B285" t="s">
        <v>27</v>
      </c>
      <c r="C285" t="s">
        <v>52</v>
      </c>
    </row>
    <row r="286" spans="1:3" hidden="1" x14ac:dyDescent="0.25">
      <c r="A286">
        <v>150</v>
      </c>
      <c r="B286" t="s">
        <v>27</v>
      </c>
      <c r="C286" t="s">
        <v>37</v>
      </c>
    </row>
    <row r="287" spans="1:3" hidden="1" x14ac:dyDescent="0.25">
      <c r="A287">
        <v>150</v>
      </c>
      <c r="B287" t="s">
        <v>28</v>
      </c>
      <c r="C287" t="s">
        <v>37</v>
      </c>
    </row>
    <row r="288" spans="1:3" hidden="1" x14ac:dyDescent="0.25">
      <c r="A288">
        <v>150.01</v>
      </c>
      <c r="B288" t="s">
        <v>31</v>
      </c>
      <c r="C288" t="s">
        <v>38</v>
      </c>
    </row>
    <row r="289" spans="1:3" hidden="1" x14ac:dyDescent="0.25">
      <c r="A289">
        <v>150.02000000000001</v>
      </c>
      <c r="B289" t="s">
        <v>26</v>
      </c>
      <c r="C289" t="s">
        <v>37</v>
      </c>
    </row>
    <row r="290" spans="1:3" x14ac:dyDescent="0.25">
      <c r="A290">
        <v>150.02000000000001</v>
      </c>
      <c r="B290" t="s">
        <v>31</v>
      </c>
      <c r="C290" t="s">
        <v>33</v>
      </c>
    </row>
    <row r="291" spans="1:3" hidden="1" x14ac:dyDescent="0.25">
      <c r="A291">
        <v>150.03</v>
      </c>
      <c r="B291" t="s">
        <v>30</v>
      </c>
      <c r="C291" t="s">
        <v>38</v>
      </c>
    </row>
    <row r="292" spans="1:3" hidden="1" x14ac:dyDescent="0.25">
      <c r="A292">
        <v>151.06</v>
      </c>
      <c r="B292" t="s">
        <v>27</v>
      </c>
      <c r="C292" t="s">
        <v>51</v>
      </c>
    </row>
    <row r="293" spans="1:3" hidden="1" x14ac:dyDescent="0.25">
      <c r="A293">
        <v>153</v>
      </c>
      <c r="B293" t="s">
        <v>28</v>
      </c>
      <c r="C293" t="s">
        <v>48</v>
      </c>
    </row>
    <row r="294" spans="1:3" x14ac:dyDescent="0.25">
      <c r="A294">
        <v>154.21</v>
      </c>
      <c r="B294" t="s">
        <v>27</v>
      </c>
      <c r="C294" t="s">
        <v>33</v>
      </c>
    </row>
    <row r="295" spans="1:3" x14ac:dyDescent="0.25">
      <c r="A295">
        <v>154.57</v>
      </c>
      <c r="B295" t="s">
        <v>26</v>
      </c>
      <c r="C295" t="s">
        <v>33</v>
      </c>
    </row>
    <row r="296" spans="1:3" hidden="1" x14ac:dyDescent="0.25">
      <c r="A296">
        <v>164.63</v>
      </c>
      <c r="B296" t="s">
        <v>28</v>
      </c>
      <c r="C296" t="s">
        <v>35</v>
      </c>
    </row>
    <row r="297" spans="1:3" hidden="1" x14ac:dyDescent="0.25">
      <c r="A297">
        <v>164.72</v>
      </c>
      <c r="B297" t="s">
        <v>25</v>
      </c>
      <c r="C297" t="s">
        <v>35</v>
      </c>
    </row>
    <row r="298" spans="1:3" hidden="1" x14ac:dyDescent="0.25">
      <c r="A298">
        <v>165.84</v>
      </c>
      <c r="B298" t="s">
        <v>26</v>
      </c>
      <c r="C298" t="s">
        <v>39</v>
      </c>
    </row>
    <row r="299" spans="1:3" x14ac:dyDescent="0.25">
      <c r="A299">
        <v>166.96</v>
      </c>
      <c r="B299" t="s">
        <v>25</v>
      </c>
      <c r="C299" t="s">
        <v>33</v>
      </c>
    </row>
    <row r="300" spans="1:3" x14ac:dyDescent="0.25">
      <c r="A300">
        <v>172.53</v>
      </c>
      <c r="B300" t="s">
        <v>28</v>
      </c>
      <c r="C300" t="s">
        <v>33</v>
      </c>
    </row>
    <row r="301" spans="1:3" x14ac:dyDescent="0.25">
      <c r="A301">
        <v>172.56</v>
      </c>
      <c r="B301" t="s">
        <v>27</v>
      </c>
      <c r="C301" t="s">
        <v>33</v>
      </c>
    </row>
    <row r="302" spans="1:3" x14ac:dyDescent="0.25">
      <c r="A302">
        <v>173.23</v>
      </c>
      <c r="B302" t="s">
        <v>30</v>
      </c>
      <c r="C302" t="s">
        <v>33</v>
      </c>
    </row>
    <row r="303" spans="1:3" x14ac:dyDescent="0.25">
      <c r="A303">
        <v>175.78</v>
      </c>
      <c r="B303" t="s">
        <v>25</v>
      </c>
      <c r="C303" t="s">
        <v>33</v>
      </c>
    </row>
    <row r="304" spans="1:3" x14ac:dyDescent="0.25">
      <c r="A304">
        <v>177.93</v>
      </c>
      <c r="B304" t="s">
        <v>25</v>
      </c>
      <c r="C304" t="s">
        <v>33</v>
      </c>
    </row>
    <row r="305" spans="1:3" x14ac:dyDescent="0.25">
      <c r="A305">
        <v>177.93</v>
      </c>
      <c r="B305" t="s">
        <v>25</v>
      </c>
      <c r="C305" t="s">
        <v>33</v>
      </c>
    </row>
    <row r="306" spans="1:3" x14ac:dyDescent="0.25">
      <c r="A306">
        <v>177.93</v>
      </c>
      <c r="B306" t="s">
        <v>29</v>
      </c>
      <c r="C306" t="s">
        <v>33</v>
      </c>
    </row>
    <row r="307" spans="1:3" hidden="1" x14ac:dyDescent="0.25">
      <c r="A307">
        <v>179.08</v>
      </c>
      <c r="B307" t="s">
        <v>26</v>
      </c>
      <c r="C307" t="s">
        <v>35</v>
      </c>
    </row>
    <row r="308" spans="1:3" x14ac:dyDescent="0.25">
      <c r="A308">
        <v>183.38</v>
      </c>
      <c r="B308" t="s">
        <v>25</v>
      </c>
      <c r="C308" t="s">
        <v>33</v>
      </c>
    </row>
    <row r="309" spans="1:3" x14ac:dyDescent="0.25">
      <c r="A309">
        <v>184.11</v>
      </c>
      <c r="B309" t="s">
        <v>25</v>
      </c>
      <c r="C309" t="s">
        <v>33</v>
      </c>
    </row>
    <row r="310" spans="1:3" x14ac:dyDescent="0.25">
      <c r="A310">
        <v>184.52</v>
      </c>
      <c r="B310" t="s">
        <v>27</v>
      </c>
      <c r="C310" t="s">
        <v>33</v>
      </c>
    </row>
    <row r="311" spans="1:3" x14ac:dyDescent="0.25">
      <c r="A311">
        <v>184.52</v>
      </c>
      <c r="B311" t="s">
        <v>31</v>
      </c>
      <c r="C311" t="s">
        <v>33</v>
      </c>
    </row>
    <row r="312" spans="1:3" hidden="1" x14ac:dyDescent="0.25">
      <c r="A312">
        <v>188.46</v>
      </c>
      <c r="B312" t="s">
        <v>27</v>
      </c>
      <c r="C312" t="s">
        <v>40</v>
      </c>
    </row>
    <row r="313" spans="1:3" x14ac:dyDescent="0.25">
      <c r="A313">
        <v>191.7</v>
      </c>
      <c r="B313" t="s">
        <v>30</v>
      </c>
      <c r="C313" t="s">
        <v>42</v>
      </c>
    </row>
    <row r="314" spans="1:3" hidden="1" x14ac:dyDescent="0.25">
      <c r="A314">
        <v>191.7</v>
      </c>
      <c r="B314" t="s">
        <v>31</v>
      </c>
      <c r="C314" t="s">
        <v>53</v>
      </c>
    </row>
    <row r="315" spans="1:3" x14ac:dyDescent="0.25">
      <c r="A315">
        <v>194.78</v>
      </c>
      <c r="B315" t="s">
        <v>27</v>
      </c>
      <c r="C315" t="s">
        <v>33</v>
      </c>
    </row>
    <row r="316" spans="1:3" x14ac:dyDescent="0.25">
      <c r="A316">
        <v>194.9</v>
      </c>
      <c r="B316" t="s">
        <v>28</v>
      </c>
      <c r="C316" t="s">
        <v>33</v>
      </c>
    </row>
    <row r="317" spans="1:3" x14ac:dyDescent="0.25">
      <c r="A317">
        <v>196.16</v>
      </c>
      <c r="B317" t="s">
        <v>25</v>
      </c>
      <c r="C317" t="s">
        <v>42</v>
      </c>
    </row>
    <row r="318" spans="1:3" x14ac:dyDescent="0.25">
      <c r="A318">
        <v>197.7</v>
      </c>
      <c r="B318" t="s">
        <v>25</v>
      </c>
      <c r="C318" t="s">
        <v>33</v>
      </c>
    </row>
    <row r="319" spans="1:3" x14ac:dyDescent="0.25">
      <c r="A319">
        <v>197.7</v>
      </c>
      <c r="B319" t="s">
        <v>25</v>
      </c>
      <c r="C319" t="s">
        <v>33</v>
      </c>
    </row>
    <row r="320" spans="1:3" x14ac:dyDescent="0.25">
      <c r="A320">
        <v>197.7</v>
      </c>
      <c r="B320" t="s">
        <v>26</v>
      </c>
      <c r="C320" t="s">
        <v>33</v>
      </c>
    </row>
    <row r="321" spans="1:3" x14ac:dyDescent="0.25">
      <c r="A321">
        <v>197.7</v>
      </c>
      <c r="B321" t="s">
        <v>28</v>
      </c>
      <c r="C321" t="s">
        <v>33</v>
      </c>
    </row>
    <row r="322" spans="1:3" x14ac:dyDescent="0.25">
      <c r="A322">
        <v>197.7</v>
      </c>
      <c r="B322" t="s">
        <v>30</v>
      </c>
      <c r="C322" t="s">
        <v>33</v>
      </c>
    </row>
    <row r="323" spans="1:3" x14ac:dyDescent="0.25">
      <c r="A323">
        <v>197.7</v>
      </c>
      <c r="B323" t="s">
        <v>30</v>
      </c>
      <c r="C323" t="s">
        <v>33</v>
      </c>
    </row>
    <row r="324" spans="1:3" hidden="1" x14ac:dyDescent="0.25">
      <c r="A324">
        <v>199.75</v>
      </c>
      <c r="B324" t="s">
        <v>25</v>
      </c>
      <c r="C324" t="s">
        <v>49</v>
      </c>
    </row>
    <row r="325" spans="1:3" hidden="1" x14ac:dyDescent="0.25">
      <c r="A325">
        <v>200</v>
      </c>
      <c r="B325" t="s">
        <v>28</v>
      </c>
      <c r="C325" t="s">
        <v>49</v>
      </c>
    </row>
    <row r="326" spans="1:3" hidden="1" x14ac:dyDescent="0.25">
      <c r="A326">
        <v>200</v>
      </c>
      <c r="B326" t="s">
        <v>28</v>
      </c>
      <c r="C326" t="s">
        <v>49</v>
      </c>
    </row>
    <row r="327" spans="1:3" hidden="1" x14ac:dyDescent="0.25">
      <c r="A327">
        <v>200</v>
      </c>
      <c r="B327" t="s">
        <v>29</v>
      </c>
      <c r="C327" t="s">
        <v>49</v>
      </c>
    </row>
    <row r="328" spans="1:3" hidden="1" x14ac:dyDescent="0.25">
      <c r="A328">
        <v>200</v>
      </c>
      <c r="B328" t="s">
        <v>31</v>
      </c>
      <c r="C328" t="s">
        <v>47</v>
      </c>
    </row>
    <row r="329" spans="1:3" hidden="1" x14ac:dyDescent="0.25">
      <c r="A329">
        <v>200</v>
      </c>
      <c r="B329" t="s">
        <v>31</v>
      </c>
      <c r="C329" t="s">
        <v>48</v>
      </c>
    </row>
    <row r="330" spans="1:3" hidden="1" x14ac:dyDescent="0.25">
      <c r="A330">
        <v>200.01</v>
      </c>
      <c r="B330" t="s">
        <v>27</v>
      </c>
      <c r="C330" t="s">
        <v>37</v>
      </c>
    </row>
    <row r="331" spans="1:3" hidden="1" x14ac:dyDescent="0.25">
      <c r="A331">
        <v>200.02</v>
      </c>
      <c r="B331" t="s">
        <v>25</v>
      </c>
      <c r="C331" t="s">
        <v>48</v>
      </c>
    </row>
    <row r="332" spans="1:3" hidden="1" x14ac:dyDescent="0.25">
      <c r="A332">
        <v>200.02</v>
      </c>
      <c r="B332" t="s">
        <v>25</v>
      </c>
      <c r="C332" t="s">
        <v>37</v>
      </c>
    </row>
    <row r="333" spans="1:3" hidden="1" x14ac:dyDescent="0.25">
      <c r="A333">
        <v>200.03</v>
      </c>
      <c r="B333" t="s">
        <v>28</v>
      </c>
      <c r="C333" t="s">
        <v>36</v>
      </c>
    </row>
    <row r="334" spans="1:3" hidden="1" x14ac:dyDescent="0.25">
      <c r="A334">
        <v>200.05</v>
      </c>
      <c r="B334" t="s">
        <v>30</v>
      </c>
      <c r="C334" t="s">
        <v>48</v>
      </c>
    </row>
    <row r="335" spans="1:3" hidden="1" x14ac:dyDescent="0.25">
      <c r="A335">
        <v>200.05</v>
      </c>
      <c r="B335" t="s">
        <v>31</v>
      </c>
      <c r="C335" t="s">
        <v>36</v>
      </c>
    </row>
    <row r="336" spans="1:3" x14ac:dyDescent="0.25">
      <c r="A336">
        <v>200.63</v>
      </c>
      <c r="B336" t="s">
        <v>26</v>
      </c>
      <c r="C336" t="s">
        <v>33</v>
      </c>
    </row>
    <row r="337" spans="1:3" hidden="1" x14ac:dyDescent="0.25">
      <c r="A337">
        <v>202.19</v>
      </c>
      <c r="B337" t="s">
        <v>26</v>
      </c>
      <c r="C337" t="s">
        <v>36</v>
      </c>
    </row>
    <row r="338" spans="1:3" x14ac:dyDescent="0.25">
      <c r="A338">
        <v>202.22</v>
      </c>
      <c r="B338" t="s">
        <v>26</v>
      </c>
      <c r="C338" t="s">
        <v>33</v>
      </c>
    </row>
    <row r="339" spans="1:3" hidden="1" x14ac:dyDescent="0.25">
      <c r="A339">
        <v>206.82</v>
      </c>
      <c r="B339" t="s">
        <v>25</v>
      </c>
      <c r="C339" t="s">
        <v>47</v>
      </c>
    </row>
    <row r="340" spans="1:3" hidden="1" x14ac:dyDescent="0.25">
      <c r="A340">
        <v>207.52</v>
      </c>
      <c r="B340" t="s">
        <v>31</v>
      </c>
      <c r="C340" t="s">
        <v>37</v>
      </c>
    </row>
    <row r="341" spans="1:3" x14ac:dyDescent="0.25">
      <c r="A341">
        <v>208.87</v>
      </c>
      <c r="B341" t="s">
        <v>25</v>
      </c>
      <c r="C341" t="s">
        <v>42</v>
      </c>
    </row>
    <row r="342" spans="1:3" x14ac:dyDescent="0.25">
      <c r="A342">
        <v>209.8</v>
      </c>
      <c r="B342" t="s">
        <v>26</v>
      </c>
      <c r="C342" t="s">
        <v>33</v>
      </c>
    </row>
    <row r="343" spans="1:3" x14ac:dyDescent="0.25">
      <c r="A343">
        <v>210.78</v>
      </c>
      <c r="B343" t="s">
        <v>25</v>
      </c>
      <c r="C343" t="s">
        <v>33</v>
      </c>
    </row>
    <row r="344" spans="1:3" x14ac:dyDescent="0.25">
      <c r="A344">
        <v>210.88</v>
      </c>
      <c r="B344" t="s">
        <v>26</v>
      </c>
      <c r="C344" t="s">
        <v>33</v>
      </c>
    </row>
    <row r="345" spans="1:3" x14ac:dyDescent="0.25">
      <c r="A345">
        <v>210.88</v>
      </c>
      <c r="B345" t="s">
        <v>27</v>
      </c>
      <c r="C345" t="s">
        <v>33</v>
      </c>
    </row>
    <row r="346" spans="1:3" x14ac:dyDescent="0.25">
      <c r="A346">
        <v>210.88</v>
      </c>
      <c r="B346" t="s">
        <v>31</v>
      </c>
      <c r="C346" t="s">
        <v>33</v>
      </c>
    </row>
    <row r="347" spans="1:3" hidden="1" x14ac:dyDescent="0.25">
      <c r="A347">
        <v>211.25</v>
      </c>
      <c r="B347" t="s">
        <v>30</v>
      </c>
      <c r="C347" t="s">
        <v>35</v>
      </c>
    </row>
    <row r="348" spans="1:3" hidden="1" x14ac:dyDescent="0.25">
      <c r="A348">
        <v>213.4</v>
      </c>
      <c r="B348" t="s">
        <v>27</v>
      </c>
      <c r="C348" t="s">
        <v>35</v>
      </c>
    </row>
    <row r="349" spans="1:3" hidden="1" x14ac:dyDescent="0.25">
      <c r="A349">
        <v>214.88</v>
      </c>
      <c r="B349" t="s">
        <v>31</v>
      </c>
      <c r="C349" t="s">
        <v>37</v>
      </c>
    </row>
    <row r="350" spans="1:3" x14ac:dyDescent="0.25">
      <c r="A350">
        <v>218.74</v>
      </c>
      <c r="B350" t="s">
        <v>25</v>
      </c>
      <c r="C350" t="s">
        <v>33</v>
      </c>
    </row>
    <row r="351" spans="1:3" hidden="1" x14ac:dyDescent="0.25">
      <c r="A351">
        <v>219.13</v>
      </c>
      <c r="B351" t="s">
        <v>24</v>
      </c>
      <c r="C351" t="s">
        <v>34</v>
      </c>
    </row>
    <row r="352" spans="1:3" hidden="1" x14ac:dyDescent="0.25">
      <c r="A352">
        <v>219.51</v>
      </c>
      <c r="B352" t="s">
        <v>26</v>
      </c>
      <c r="C352" t="s">
        <v>35</v>
      </c>
    </row>
    <row r="353" spans="1:3" x14ac:dyDescent="0.25">
      <c r="A353">
        <v>222.21</v>
      </c>
      <c r="B353" t="s">
        <v>27</v>
      </c>
      <c r="C353" t="s">
        <v>33</v>
      </c>
    </row>
    <row r="354" spans="1:3" hidden="1" x14ac:dyDescent="0.25">
      <c r="A354">
        <v>230.05</v>
      </c>
      <c r="B354" t="s">
        <v>30</v>
      </c>
      <c r="C354" t="s">
        <v>47</v>
      </c>
    </row>
    <row r="355" spans="1:3" hidden="1" x14ac:dyDescent="0.25">
      <c r="A355">
        <v>230.76</v>
      </c>
      <c r="B355" t="s">
        <v>25</v>
      </c>
      <c r="C355" t="s">
        <v>40</v>
      </c>
    </row>
    <row r="356" spans="1:3" hidden="1" x14ac:dyDescent="0.25">
      <c r="A356">
        <v>232.55</v>
      </c>
      <c r="B356" t="s">
        <v>27</v>
      </c>
      <c r="C356" t="s">
        <v>49</v>
      </c>
    </row>
    <row r="357" spans="1:3" x14ac:dyDescent="0.25">
      <c r="A357">
        <v>234.32</v>
      </c>
      <c r="B357" t="s">
        <v>25</v>
      </c>
      <c r="C357" t="s">
        <v>33</v>
      </c>
    </row>
    <row r="358" spans="1:3" hidden="1" x14ac:dyDescent="0.25">
      <c r="A358">
        <v>235.03</v>
      </c>
      <c r="B358" t="s">
        <v>25</v>
      </c>
      <c r="C358" t="s">
        <v>49</v>
      </c>
    </row>
    <row r="359" spans="1:3" hidden="1" x14ac:dyDescent="0.25">
      <c r="A359">
        <v>235.26</v>
      </c>
      <c r="B359" t="s">
        <v>27</v>
      </c>
      <c r="C359" t="s">
        <v>35</v>
      </c>
    </row>
    <row r="360" spans="1:3" x14ac:dyDescent="0.25">
      <c r="A360">
        <v>235.53</v>
      </c>
      <c r="B360" t="s">
        <v>25</v>
      </c>
      <c r="C360" t="s">
        <v>33</v>
      </c>
    </row>
    <row r="361" spans="1:3" x14ac:dyDescent="0.25">
      <c r="A361">
        <v>238.65</v>
      </c>
      <c r="B361" t="s">
        <v>26</v>
      </c>
      <c r="C361" t="s">
        <v>33</v>
      </c>
    </row>
    <row r="362" spans="1:3" x14ac:dyDescent="0.25">
      <c r="A362">
        <v>241.26</v>
      </c>
      <c r="B362" t="s">
        <v>25</v>
      </c>
      <c r="C362" t="s">
        <v>33</v>
      </c>
    </row>
    <row r="363" spans="1:3" x14ac:dyDescent="0.25">
      <c r="A363">
        <v>244.03</v>
      </c>
      <c r="B363" t="s">
        <v>25</v>
      </c>
      <c r="C363" t="s">
        <v>33</v>
      </c>
    </row>
    <row r="364" spans="1:3" hidden="1" x14ac:dyDescent="0.25">
      <c r="A364">
        <v>247.52</v>
      </c>
      <c r="B364" t="s">
        <v>30</v>
      </c>
      <c r="C364" t="s">
        <v>35</v>
      </c>
    </row>
    <row r="365" spans="1:3" hidden="1" x14ac:dyDescent="0.25">
      <c r="A365">
        <v>247.6</v>
      </c>
      <c r="B365" t="s">
        <v>28</v>
      </c>
      <c r="C365" t="s">
        <v>38</v>
      </c>
    </row>
    <row r="366" spans="1:3" x14ac:dyDescent="0.25">
      <c r="A366">
        <v>248.17</v>
      </c>
      <c r="B366" t="s">
        <v>26</v>
      </c>
      <c r="C366" t="s">
        <v>33</v>
      </c>
    </row>
    <row r="367" spans="1:3" hidden="1" x14ac:dyDescent="0.25">
      <c r="A367">
        <v>249.22</v>
      </c>
      <c r="B367" t="s">
        <v>27</v>
      </c>
      <c r="C367" t="s">
        <v>37</v>
      </c>
    </row>
    <row r="368" spans="1:3" hidden="1" x14ac:dyDescent="0.25">
      <c r="A368">
        <v>250</v>
      </c>
      <c r="B368" t="s">
        <v>30</v>
      </c>
      <c r="C368" t="s">
        <v>36</v>
      </c>
    </row>
    <row r="369" spans="1:3" hidden="1" x14ac:dyDescent="0.25">
      <c r="A369">
        <v>250.46</v>
      </c>
      <c r="B369" t="s">
        <v>31</v>
      </c>
      <c r="C369" t="s">
        <v>46</v>
      </c>
    </row>
    <row r="370" spans="1:3" hidden="1" x14ac:dyDescent="0.25">
      <c r="A370">
        <v>255.21</v>
      </c>
      <c r="B370" t="s">
        <v>25</v>
      </c>
      <c r="C370" t="s">
        <v>37</v>
      </c>
    </row>
    <row r="371" spans="1:3" x14ac:dyDescent="0.25">
      <c r="A371">
        <v>255.6</v>
      </c>
      <c r="B371" t="s">
        <v>26</v>
      </c>
      <c r="C371" t="s">
        <v>33</v>
      </c>
    </row>
    <row r="372" spans="1:3" x14ac:dyDescent="0.25">
      <c r="A372">
        <v>255.6</v>
      </c>
      <c r="B372" t="s">
        <v>26</v>
      </c>
      <c r="C372" t="s">
        <v>33</v>
      </c>
    </row>
    <row r="373" spans="1:3" hidden="1" x14ac:dyDescent="0.25">
      <c r="A373">
        <v>255.6</v>
      </c>
      <c r="B373" t="s">
        <v>26</v>
      </c>
      <c r="C373" t="s">
        <v>35</v>
      </c>
    </row>
    <row r="374" spans="1:3" x14ac:dyDescent="0.25">
      <c r="A374">
        <v>257.42</v>
      </c>
      <c r="B374" t="s">
        <v>29</v>
      </c>
      <c r="C374" t="s">
        <v>33</v>
      </c>
    </row>
    <row r="375" spans="1:3" hidden="1" x14ac:dyDescent="0.25">
      <c r="A375">
        <v>260.67</v>
      </c>
      <c r="B375" t="s">
        <v>27</v>
      </c>
      <c r="C375" t="s">
        <v>36</v>
      </c>
    </row>
    <row r="376" spans="1:3" x14ac:dyDescent="0.25">
      <c r="A376">
        <v>263.60000000000002</v>
      </c>
      <c r="B376" t="s">
        <v>31</v>
      </c>
      <c r="C376" t="s">
        <v>33</v>
      </c>
    </row>
    <row r="377" spans="1:3" hidden="1" x14ac:dyDescent="0.25">
      <c r="A377">
        <v>266.23</v>
      </c>
      <c r="B377" t="s">
        <v>29</v>
      </c>
      <c r="C377" t="s">
        <v>45</v>
      </c>
    </row>
    <row r="378" spans="1:3" hidden="1" x14ac:dyDescent="0.25">
      <c r="A378">
        <v>276.33999999999997</v>
      </c>
      <c r="B378" t="s">
        <v>25</v>
      </c>
      <c r="C378" t="s">
        <v>39</v>
      </c>
    </row>
    <row r="379" spans="1:3" hidden="1" x14ac:dyDescent="0.25">
      <c r="A379">
        <v>276.8</v>
      </c>
      <c r="B379" t="s">
        <v>30</v>
      </c>
      <c r="C379" t="s">
        <v>44</v>
      </c>
    </row>
    <row r="380" spans="1:3" x14ac:dyDescent="0.25">
      <c r="A380">
        <v>278.47000000000003</v>
      </c>
      <c r="B380" t="s">
        <v>27</v>
      </c>
      <c r="C380" t="s">
        <v>33</v>
      </c>
    </row>
    <row r="381" spans="1:3" x14ac:dyDescent="0.25">
      <c r="A381">
        <v>279.24</v>
      </c>
      <c r="B381" t="s">
        <v>30</v>
      </c>
      <c r="C381" t="s">
        <v>33</v>
      </c>
    </row>
    <row r="382" spans="1:3" hidden="1" x14ac:dyDescent="0.25">
      <c r="A382">
        <v>285.66000000000003</v>
      </c>
      <c r="B382" t="s">
        <v>26</v>
      </c>
      <c r="C382" t="s">
        <v>35</v>
      </c>
    </row>
    <row r="383" spans="1:3" hidden="1" x14ac:dyDescent="0.25">
      <c r="A383">
        <v>287.08</v>
      </c>
      <c r="B383" t="s">
        <v>25</v>
      </c>
      <c r="C383" t="s">
        <v>35</v>
      </c>
    </row>
    <row r="384" spans="1:3" x14ac:dyDescent="0.25">
      <c r="A384">
        <v>289.58</v>
      </c>
      <c r="B384" t="s">
        <v>27</v>
      </c>
      <c r="C384" t="s">
        <v>33</v>
      </c>
    </row>
    <row r="385" spans="1:3" hidden="1" x14ac:dyDescent="0.25">
      <c r="A385">
        <v>289.72000000000003</v>
      </c>
      <c r="B385" t="s">
        <v>24</v>
      </c>
      <c r="C385" t="s">
        <v>35</v>
      </c>
    </row>
    <row r="386" spans="1:3" x14ac:dyDescent="0.25">
      <c r="A386">
        <v>290</v>
      </c>
      <c r="B386" t="s">
        <v>30</v>
      </c>
      <c r="C386" t="s">
        <v>33</v>
      </c>
    </row>
    <row r="387" spans="1:3" hidden="1" x14ac:dyDescent="0.25">
      <c r="A387">
        <v>292.12</v>
      </c>
      <c r="B387" t="s">
        <v>25</v>
      </c>
      <c r="C387" t="s">
        <v>40</v>
      </c>
    </row>
    <row r="388" spans="1:3" hidden="1" x14ac:dyDescent="0.25">
      <c r="A388">
        <v>295.42</v>
      </c>
      <c r="B388" t="s">
        <v>31</v>
      </c>
      <c r="C388" t="s">
        <v>36</v>
      </c>
    </row>
    <row r="389" spans="1:3" x14ac:dyDescent="0.25">
      <c r="A389">
        <v>295.87</v>
      </c>
      <c r="B389" t="s">
        <v>31</v>
      </c>
      <c r="C389" t="s">
        <v>33</v>
      </c>
    </row>
    <row r="390" spans="1:3" hidden="1" x14ac:dyDescent="0.25">
      <c r="A390">
        <v>299.04000000000002</v>
      </c>
      <c r="B390" t="s">
        <v>30</v>
      </c>
      <c r="C390" t="s">
        <v>51</v>
      </c>
    </row>
    <row r="391" spans="1:3" x14ac:dyDescent="0.25">
      <c r="A391">
        <v>300.33</v>
      </c>
      <c r="B391" t="s">
        <v>27</v>
      </c>
      <c r="C391" t="s">
        <v>33</v>
      </c>
    </row>
    <row r="392" spans="1:3" hidden="1" x14ac:dyDescent="0.25">
      <c r="A392">
        <v>302.37</v>
      </c>
      <c r="B392" t="s">
        <v>26</v>
      </c>
      <c r="C392" t="s">
        <v>37</v>
      </c>
    </row>
    <row r="393" spans="1:3" hidden="1" x14ac:dyDescent="0.25">
      <c r="A393">
        <v>306.52999999999997</v>
      </c>
      <c r="B393" t="s">
        <v>29</v>
      </c>
      <c r="C393" t="s">
        <v>39</v>
      </c>
    </row>
    <row r="394" spans="1:3" hidden="1" x14ac:dyDescent="0.25">
      <c r="A394">
        <v>307.99</v>
      </c>
      <c r="B394" t="s">
        <v>29</v>
      </c>
      <c r="C394" t="s">
        <v>38</v>
      </c>
    </row>
    <row r="395" spans="1:3" x14ac:dyDescent="0.25">
      <c r="A395">
        <v>311.87</v>
      </c>
      <c r="B395" t="s">
        <v>26</v>
      </c>
      <c r="C395" t="s">
        <v>33</v>
      </c>
    </row>
    <row r="396" spans="1:3" x14ac:dyDescent="0.25">
      <c r="A396">
        <v>312.31</v>
      </c>
      <c r="B396" t="s">
        <v>29</v>
      </c>
      <c r="C396" t="s">
        <v>33</v>
      </c>
    </row>
    <row r="397" spans="1:3" x14ac:dyDescent="0.25">
      <c r="A397">
        <v>318.77</v>
      </c>
      <c r="B397" t="s">
        <v>27</v>
      </c>
      <c r="C397" t="s">
        <v>33</v>
      </c>
    </row>
    <row r="398" spans="1:3" hidden="1" x14ac:dyDescent="0.25">
      <c r="A398">
        <v>319.5</v>
      </c>
      <c r="B398" t="s">
        <v>29</v>
      </c>
      <c r="C398" t="s">
        <v>53</v>
      </c>
    </row>
    <row r="399" spans="1:3" hidden="1" x14ac:dyDescent="0.25">
      <c r="A399">
        <v>320.01</v>
      </c>
      <c r="B399" t="s">
        <v>27</v>
      </c>
      <c r="C399" t="s">
        <v>36</v>
      </c>
    </row>
    <row r="400" spans="1:3" x14ac:dyDescent="0.25">
      <c r="A400">
        <v>344.42</v>
      </c>
      <c r="B400" t="s">
        <v>26</v>
      </c>
      <c r="C400" t="s">
        <v>42</v>
      </c>
    </row>
    <row r="401" spans="1:3" hidden="1" x14ac:dyDescent="0.25">
      <c r="A401">
        <v>358.03</v>
      </c>
      <c r="B401" t="s">
        <v>26</v>
      </c>
      <c r="C401" t="s">
        <v>39</v>
      </c>
    </row>
    <row r="402" spans="1:3" x14ac:dyDescent="0.25">
      <c r="A402">
        <v>364.33</v>
      </c>
      <c r="B402" t="s">
        <v>27</v>
      </c>
      <c r="C402" t="s">
        <v>33</v>
      </c>
    </row>
    <row r="403" spans="1:3" hidden="1" x14ac:dyDescent="0.25">
      <c r="A403">
        <v>400</v>
      </c>
      <c r="B403" t="s">
        <v>25</v>
      </c>
      <c r="C403" t="s">
        <v>39</v>
      </c>
    </row>
    <row r="404" spans="1:3" hidden="1" x14ac:dyDescent="0.25">
      <c r="A404">
        <v>404.26</v>
      </c>
      <c r="B404" t="s">
        <v>29</v>
      </c>
      <c r="C404" t="s">
        <v>34</v>
      </c>
    </row>
    <row r="405" spans="1:3" x14ac:dyDescent="0.25">
      <c r="A405">
        <v>427.6</v>
      </c>
      <c r="B405" t="s">
        <v>25</v>
      </c>
      <c r="C405" t="s">
        <v>33</v>
      </c>
    </row>
    <row r="406" spans="1:3" hidden="1" x14ac:dyDescent="0.25">
      <c r="A406">
        <v>458.03</v>
      </c>
      <c r="B406" t="s">
        <v>28</v>
      </c>
      <c r="C406" t="s">
        <v>49</v>
      </c>
    </row>
    <row r="407" spans="1:3" hidden="1" x14ac:dyDescent="0.25">
      <c r="A407">
        <v>538.82000000000005</v>
      </c>
      <c r="B407" t="s">
        <v>31</v>
      </c>
      <c r="C407" t="s">
        <v>39</v>
      </c>
    </row>
    <row r="408" spans="1:3" hidden="1" x14ac:dyDescent="0.25">
      <c r="A408">
        <v>540.48</v>
      </c>
      <c r="B408" t="s">
        <v>31</v>
      </c>
      <c r="C408" t="s">
        <v>39</v>
      </c>
    </row>
    <row r="409" spans="1:3" hidden="1" x14ac:dyDescent="0.25">
      <c r="A409">
        <v>550.77</v>
      </c>
      <c r="B409" t="s">
        <v>28</v>
      </c>
      <c r="C409" t="s">
        <v>39</v>
      </c>
    </row>
    <row r="410" spans="1:3" hidden="1" x14ac:dyDescent="0.25">
      <c r="A410">
        <v>589.48</v>
      </c>
      <c r="B410" t="s">
        <v>26</v>
      </c>
      <c r="C410" t="s">
        <v>39</v>
      </c>
    </row>
    <row r="411" spans="1:3" hidden="1" x14ac:dyDescent="0.25">
      <c r="A411">
        <v>596.44000000000005</v>
      </c>
      <c r="B411" t="s">
        <v>29</v>
      </c>
      <c r="C411" t="s">
        <v>44</v>
      </c>
    </row>
    <row r="412" spans="1:3" hidden="1" x14ac:dyDescent="0.25">
      <c r="A412">
        <v>612.08000000000004</v>
      </c>
      <c r="B412" t="s">
        <v>26</v>
      </c>
      <c r="C412" t="s">
        <v>39</v>
      </c>
    </row>
    <row r="413" spans="1:3" hidden="1" x14ac:dyDescent="0.25">
      <c r="A413">
        <v>620.02</v>
      </c>
      <c r="B413" t="s">
        <v>25</v>
      </c>
      <c r="C413" t="s">
        <v>44</v>
      </c>
    </row>
    <row r="414" spans="1:3" hidden="1" x14ac:dyDescent="0.25">
      <c r="A414">
        <v>648.20000000000005</v>
      </c>
      <c r="B414" t="s">
        <v>26</v>
      </c>
      <c r="C414" t="s">
        <v>35</v>
      </c>
    </row>
    <row r="415" spans="1:3" hidden="1" x14ac:dyDescent="0.25">
      <c r="A415">
        <v>685.47</v>
      </c>
      <c r="B415" t="s">
        <v>27</v>
      </c>
      <c r="C415" t="s">
        <v>34</v>
      </c>
    </row>
    <row r="416" spans="1:3" hidden="1" x14ac:dyDescent="0.25">
      <c r="A416">
        <v>717.27</v>
      </c>
      <c r="B416" t="s">
        <v>30</v>
      </c>
      <c r="C416" t="s">
        <v>34</v>
      </c>
    </row>
    <row r="417" spans="1:3" hidden="1" x14ac:dyDescent="0.25">
      <c r="A417">
        <v>728.51</v>
      </c>
      <c r="B417" t="s">
        <v>30</v>
      </c>
      <c r="C417" t="s">
        <v>39</v>
      </c>
    </row>
    <row r="418" spans="1:3" hidden="1" x14ac:dyDescent="0.25">
      <c r="A418">
        <v>768.43</v>
      </c>
      <c r="B418" t="s">
        <v>26</v>
      </c>
      <c r="C418" t="s">
        <v>34</v>
      </c>
    </row>
    <row r="419" spans="1:3" hidden="1" x14ac:dyDescent="0.25">
      <c r="A419">
        <v>770.5</v>
      </c>
      <c r="B419" t="s">
        <v>26</v>
      </c>
      <c r="C419" t="s">
        <v>51</v>
      </c>
    </row>
    <row r="420" spans="1:3" hidden="1" x14ac:dyDescent="0.25">
      <c r="A420">
        <v>786.45</v>
      </c>
      <c r="B420" t="s">
        <v>26</v>
      </c>
      <c r="C420" t="s">
        <v>35</v>
      </c>
    </row>
    <row r="421" spans="1:3" x14ac:dyDescent="0.25">
      <c r="A421">
        <v>811.66</v>
      </c>
      <c r="B421" t="s">
        <v>29</v>
      </c>
      <c r="C421" t="s">
        <v>42</v>
      </c>
    </row>
    <row r="422" spans="1:3" hidden="1" x14ac:dyDescent="0.25">
      <c r="A422">
        <v>825.42</v>
      </c>
      <c r="B422" t="s">
        <v>28</v>
      </c>
      <c r="C422" t="s">
        <v>39</v>
      </c>
    </row>
    <row r="423" spans="1:3" hidden="1" x14ac:dyDescent="0.25">
      <c r="A423">
        <v>926.4</v>
      </c>
      <c r="B423" t="s">
        <v>28</v>
      </c>
      <c r="C423" t="s">
        <v>39</v>
      </c>
    </row>
    <row r="424" spans="1:3" hidden="1" x14ac:dyDescent="0.25">
      <c r="A424">
        <v>1032.31</v>
      </c>
      <c r="B424" t="s">
        <v>25</v>
      </c>
      <c r="C424" t="s">
        <v>39</v>
      </c>
    </row>
    <row r="425" spans="1:3" hidden="1" x14ac:dyDescent="0.25">
      <c r="A425">
        <v>1036.9100000000001</v>
      </c>
      <c r="B425" t="s">
        <v>28</v>
      </c>
      <c r="C425" t="s">
        <v>35</v>
      </c>
    </row>
    <row r="426" spans="1:3" hidden="1" x14ac:dyDescent="0.25">
      <c r="A426">
        <v>1046.0899999999999</v>
      </c>
      <c r="B426" t="s">
        <v>28</v>
      </c>
      <c r="C426" t="s">
        <v>34</v>
      </c>
    </row>
    <row r="427" spans="1:3" hidden="1" x14ac:dyDescent="0.25">
      <c r="A427">
        <v>1057.43</v>
      </c>
      <c r="B427" t="s">
        <v>30</v>
      </c>
      <c r="C427" t="s">
        <v>39</v>
      </c>
    </row>
    <row r="428" spans="1:3" hidden="1" x14ac:dyDescent="0.25">
      <c r="A428">
        <v>1104.53</v>
      </c>
      <c r="B428" t="s">
        <v>31</v>
      </c>
      <c r="C428" t="s">
        <v>34</v>
      </c>
    </row>
    <row r="429" spans="1:3" hidden="1" x14ac:dyDescent="0.25">
      <c r="A429">
        <v>1385.95</v>
      </c>
      <c r="B429" t="s">
        <v>27</v>
      </c>
      <c r="C429" t="s">
        <v>40</v>
      </c>
    </row>
    <row r="430" spans="1:3" hidden="1" x14ac:dyDescent="0.25">
      <c r="A430">
        <v>1387.86</v>
      </c>
      <c r="B430" t="s">
        <v>28</v>
      </c>
      <c r="C430" t="s">
        <v>39</v>
      </c>
    </row>
    <row r="431" spans="1:3" hidden="1" x14ac:dyDescent="0.25">
      <c r="A431">
        <v>1825.19</v>
      </c>
      <c r="B431" t="s">
        <v>25</v>
      </c>
      <c r="C431" t="s">
        <v>34</v>
      </c>
    </row>
    <row r="432" spans="1:3" hidden="1" x14ac:dyDescent="0.25">
      <c r="A432">
        <v>2015.02</v>
      </c>
      <c r="B432" t="s">
        <v>24</v>
      </c>
      <c r="C432" t="s">
        <v>35</v>
      </c>
    </row>
    <row r="433" spans="1:3" hidden="1" x14ac:dyDescent="0.25">
      <c r="A433">
        <v>2446.4499999999998</v>
      </c>
      <c r="B433" t="s">
        <v>29</v>
      </c>
      <c r="C433" t="s">
        <v>39</v>
      </c>
    </row>
    <row r="434" spans="1:3" hidden="1" x14ac:dyDescent="0.25">
      <c r="A434">
        <v>3970.74</v>
      </c>
      <c r="B434" t="s">
        <v>28</v>
      </c>
      <c r="C434" t="s">
        <v>39</v>
      </c>
    </row>
  </sheetData>
  <autoFilter ref="A1:C434" xr:uid="{08F39950-3D8B-4187-B68A-F6000BC3BDBC}">
    <filterColumn colId="2">
      <filters>
        <filter val="CTF ANTENA"/>
        <filter val="POS - CTF"/>
      </filters>
    </filterColumn>
  </autoFilter>
  <sortState xmlns:xlrd2="http://schemas.microsoft.com/office/spreadsheetml/2017/richdata2" ref="A2:C434">
    <sortCondition ref="A2:A43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Sheet1</vt:lpstr>
      <vt:lpstr>Planilha3</vt:lpstr>
      <vt:lpstr>FROTA FLEX</vt:lpstr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2026-02-27T11:18:48Z</dcterms:created>
  <dcterms:modified xsi:type="dcterms:W3CDTF">2026-02-27T14:00:22Z</dcterms:modified>
</cp:coreProperties>
</file>