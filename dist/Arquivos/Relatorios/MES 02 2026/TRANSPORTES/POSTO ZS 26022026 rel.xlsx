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orios\MES 02 2026\TRANSPORTES\"/>
    </mc:Choice>
  </mc:AlternateContent>
  <xr:revisionPtr revIDLastSave="0" documentId="13_ncr:1_{698FDAFB-064D-4CEC-B15B-ED8BE9959268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Sheet1" sheetId="1" r:id="rId1"/>
    <sheet name="frota flex" sheetId="4" r:id="rId2"/>
    <sheet name="Planilha1" sheetId="3" r:id="rId3"/>
    <sheet name="VENDAS" sheetId="2" r:id="rId4"/>
  </sheets>
  <definedNames>
    <definedName name="_xlnm._FilterDatabase" localSheetId="3" hidden="1">VENDAS!$A$1:$C$552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4" l="1"/>
  <c r="C41" i="4"/>
  <c r="C16" i="1"/>
  <c r="C9" i="1"/>
  <c r="C10" i="1"/>
  <c r="C8" i="1"/>
  <c r="D11" i="1"/>
  <c r="E11" i="1" s="1"/>
  <c r="F19" i="3"/>
  <c r="D10" i="1"/>
  <c r="C18" i="1"/>
  <c r="C23" i="1" s="1"/>
  <c r="D17" i="1"/>
  <c r="E17" i="1" s="1"/>
  <c r="D16" i="1"/>
  <c r="D15" i="1"/>
  <c r="E15" i="1" s="1"/>
  <c r="D14" i="1"/>
  <c r="E14" i="1" s="1"/>
  <c r="D13" i="1"/>
  <c r="E13" i="1" s="1"/>
  <c r="D12" i="1"/>
  <c r="E12" i="1" s="1"/>
  <c r="D9" i="1"/>
  <c r="D8" i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E16" i="1" l="1"/>
  <c r="E9" i="1"/>
  <c r="E10" i="1"/>
  <c r="E8" i="1"/>
</calcChain>
</file>

<file path=xl/sharedStrings.xml><?xml version="1.0" encoding="utf-8"?>
<sst xmlns="http://schemas.openxmlformats.org/spreadsheetml/2006/main" count="1419" uniqueCount="173">
  <si>
    <t>cod_pessoa</t>
  </si>
  <si>
    <t>nom_pessoa</t>
  </si>
  <si>
    <t>val_duplicata</t>
  </si>
  <si>
    <t>Total bancos</t>
  </si>
  <si>
    <t>DIF</t>
  </si>
  <si>
    <t>Stone</t>
  </si>
  <si>
    <t>Cielo</t>
  </si>
  <si>
    <t>Sites</t>
  </si>
  <si>
    <t>CARTAO ALELO AUTO</t>
  </si>
  <si>
    <t>CARTAO CIELO ELO CREDITO</t>
  </si>
  <si>
    <t>CARTAO CIELO ELO DEBITO</t>
  </si>
  <si>
    <t>CARTAO FANCARD</t>
  </si>
  <si>
    <t>CARTAO FITCARD</t>
  </si>
  <si>
    <t>CARTAO MAESTRO</t>
  </si>
  <si>
    <t>CARTAO MASTERCARD</t>
  </si>
  <si>
    <t>CARTAO PIX</t>
  </si>
  <si>
    <t>CARTAO VALECARD</t>
  </si>
  <si>
    <t>CARTAO VISA CREDITO</t>
  </si>
  <si>
    <t>CARTAO VISA DEBITO</t>
  </si>
  <si>
    <t>CTF TECHNOLOGIES DO BRASIL LTDA</t>
  </si>
  <si>
    <t>SODEXO PASS DO BRASIL SERVICOS E COMERCIO S.A.</t>
  </si>
  <si>
    <t>STONE INSTITUICAO DE PAGAMENTO S.A</t>
  </si>
  <si>
    <t>TICKET SOLUCOES HDFGT SA</t>
  </si>
  <si>
    <t>ALEXSANDRO NASCIMENTO DE SOUZA</t>
  </si>
  <si>
    <t>ANDRE VIANA VIEIRA</t>
  </si>
  <si>
    <t>EDENILSON RODRIGUES DOS SANTOS</t>
  </si>
  <si>
    <t>EDUARDO HEVERTON VARELA SILVA</t>
  </si>
  <si>
    <t>EDUARDO JOSE ANTONIO DOS SANTOS</t>
  </si>
  <si>
    <t>JEAN DO NASCIMENTO</t>
  </si>
  <si>
    <t>JUDSON PATRICK SILVA BISPO</t>
  </si>
  <si>
    <t>WILLIAM MONTEIRO DO NASCIMENTO</t>
  </si>
  <si>
    <t>des_forma_pagto</t>
  </si>
  <si>
    <t>DINHEIRO</t>
  </si>
  <si>
    <t>NOTA A PRAZO</t>
  </si>
  <si>
    <t>POS - ALELO</t>
  </si>
  <si>
    <t>POS - CTF</t>
  </si>
  <si>
    <t>POS - FITCARD</t>
  </si>
  <si>
    <t>POS - GOODCARD</t>
  </si>
  <si>
    <t>QRLinx - PIX</t>
  </si>
  <si>
    <t>SODEXO POS</t>
  </si>
  <si>
    <t>TEF - ELO CREDITO</t>
  </si>
  <si>
    <t>TEF - ELO DEBITO</t>
  </si>
  <si>
    <t>TEF - FANCARD</t>
  </si>
  <si>
    <t>TEF - MAESTRO</t>
  </si>
  <si>
    <t>TEF - MASTERCARD</t>
  </si>
  <si>
    <t>TEF - VALECARD CREDITO</t>
  </si>
  <si>
    <t>TEF - VISA CREDITO</t>
  </si>
  <si>
    <t>TEF - VISA DEBITO</t>
  </si>
  <si>
    <t>POS - MASTERCARD</t>
  </si>
  <si>
    <t>POS - CIELO PIX</t>
  </si>
  <si>
    <t>POS - VISA CREDITO</t>
  </si>
  <si>
    <t>val_pagamento</t>
  </si>
  <si>
    <t>CARTOES</t>
  </si>
  <si>
    <t>DEPOSITOS</t>
  </si>
  <si>
    <t>DIF DE CAIXA</t>
  </si>
  <si>
    <t>NOTAS A PRAZO</t>
  </si>
  <si>
    <t>SANGRIAS</t>
  </si>
  <si>
    <t>TOTAL</t>
  </si>
  <si>
    <t>CARTAO POLYCARD</t>
  </si>
  <si>
    <t>0/0</t>
  </si>
  <si>
    <t>VENDA - CARTÃO FROTA</t>
  </si>
  <si>
    <t>CCROSS XRX HYBRID</t>
  </si>
  <si>
    <t>CLIO EXP</t>
  </si>
  <si>
    <t>CITYCLASS</t>
  </si>
  <si>
    <t>FIAT/STRADA FREEDOM 13CS</t>
  </si>
  <si>
    <t>SPIN 1.8L MT LTZ</t>
  </si>
  <si>
    <t>DAILY 3510 VAN</t>
  </si>
  <si>
    <t>CARTAO RESERVA 0045</t>
  </si>
  <si>
    <t>CARGO</t>
  </si>
  <si>
    <t>FURGAO</t>
  </si>
  <si>
    <t>NXR BROS 125 KS</t>
  </si>
  <si>
    <t>VENDA - CARTÃO COMBUSTÍVEL</t>
  </si>
  <si>
    <t>ANDERSON ALVES GONCALVES DE OLIVEIRA</t>
  </si>
  <si>
    <t>VENDA CARTÃO COMBUSTÍVEL CONVÊNIO</t>
  </si>
  <si>
    <t>LUIZ EDUARDO DA CUNHA</t>
  </si>
  <si>
    <t>JOSIAS BERNARDINO DE SENA SOBRINHO</t>
  </si>
  <si>
    <t>MATTEUS LIMA DO NASCIMENTO</t>
  </si>
  <si>
    <t>Sequência</t>
  </si>
  <si>
    <t>Número</t>
  </si>
  <si>
    <t>R$ Total</t>
  </si>
  <si>
    <t>Staus</t>
  </si>
  <si>
    <t>Placa / Motorista</t>
  </si>
  <si>
    <t>Requisição</t>
  </si>
  <si>
    <t>Emissão</t>
  </si>
  <si>
    <t>Vencimento</t>
  </si>
  <si>
    <t>Estabelecimento</t>
  </si>
  <si>
    <t>Caixa</t>
  </si>
  <si>
    <t>Turno</t>
  </si>
  <si>
    <t>Cliente</t>
  </si>
  <si>
    <t>726112/1</t>
  </si>
  <si>
    <t>Em Aberto</t>
  </si>
  <si>
    <t>NOVO HORIZONTE I</t>
  </si>
  <si>
    <t>SERVIDOR</t>
  </si>
  <si>
    <t>SOW SERVICOS DE ENTREGAS LTDA</t>
  </si>
  <si>
    <t>726066/1</t>
  </si>
  <si>
    <t>MZL-4B44</t>
  </si>
  <si>
    <t>726213/1</t>
  </si>
  <si>
    <t>MOV-8A16/JULIANA</t>
  </si>
  <si>
    <t>726159/1</t>
  </si>
  <si>
    <t>OKA-5J53/WALTERCIO</t>
  </si>
  <si>
    <t>726625/1</t>
  </si>
  <si>
    <t>LOGAUTO TRANSPORTADORA DE VEICULOS LTDA</t>
  </si>
  <si>
    <t>726414/1</t>
  </si>
  <si>
    <t>NOC-9I31/JULIANO</t>
  </si>
  <si>
    <t>SUPREMA PROMOCAO DE EVENTOS LTDA</t>
  </si>
  <si>
    <t>726070/1</t>
  </si>
  <si>
    <t>OWA-9028/GLEYBSON</t>
  </si>
  <si>
    <t>726622/1</t>
  </si>
  <si>
    <t>726412/1</t>
  </si>
  <si>
    <t>QGQ-2599/RODRIGO</t>
  </si>
  <si>
    <t>OLIMPO RECEPCOES &amp; EVENTOS LTDA</t>
  </si>
  <si>
    <t>726325/1</t>
  </si>
  <si>
    <t>726614/1</t>
  </si>
  <si>
    <t>TSR-7I55/DANIELSON</t>
  </si>
  <si>
    <t>VIA CERTA NATAL COMUNICACAO DIGITAL LTDA</t>
  </si>
  <si>
    <t>726092/1</t>
  </si>
  <si>
    <t>RQG-1C89/MARCIO</t>
  </si>
  <si>
    <t>SINDIFERN- SIND DOS AUDIT FISCAIS DO TESOURO EST DO RN</t>
  </si>
  <si>
    <t>726377/1</t>
  </si>
  <si>
    <t>MZC-9925/ROMARIO MARTINS</t>
  </si>
  <si>
    <t>726499/1</t>
  </si>
  <si>
    <t>TSS-9B26/ANA CLAUDINI</t>
  </si>
  <si>
    <t>PHOENIX EMPREENDIMENTOS LTDA</t>
  </si>
  <si>
    <t>726230/1</t>
  </si>
  <si>
    <t>QFF-3176/WILSON</t>
  </si>
  <si>
    <t>BRASIFORT SERVICOS DE VIGILANCIA E TRANSP DE VALORES LTDA</t>
  </si>
  <si>
    <t>726301/1</t>
  </si>
  <si>
    <t>NNS-3F09/RODRIGO</t>
  </si>
  <si>
    <t>726161/1</t>
  </si>
  <si>
    <t>RQH-6H90/FRANCISCO</t>
  </si>
  <si>
    <t>S M A NATAL SERVICOS E LOCACAO DE EQUIPAMENTOS PARA PISCINAS</t>
  </si>
  <si>
    <t>726395/1</t>
  </si>
  <si>
    <t>RQL-5I73/VALMIR</t>
  </si>
  <si>
    <t>726285/1</t>
  </si>
  <si>
    <t>SGB-3D42/GIZELLE</t>
  </si>
  <si>
    <t>VORTEX EMPREENDIMENTOS E CONSTRUCOES LTDA</t>
  </si>
  <si>
    <t>726241/1</t>
  </si>
  <si>
    <t>RGF-7F38/EVANDRO</t>
  </si>
  <si>
    <t>MIRANDA COMPUTACAO E COMERCIO LTDA</t>
  </si>
  <si>
    <t>726251/1</t>
  </si>
  <si>
    <t>TSQ-0C37/RICARDO</t>
  </si>
  <si>
    <t>PHOSPODONT LTDA</t>
  </si>
  <si>
    <t>726473/1</t>
  </si>
  <si>
    <t>726598/1</t>
  </si>
  <si>
    <t>OWF-3E87/JANAINA</t>
  </si>
  <si>
    <t>JOSE IVANILSON ALVES DE OLIVEIRA</t>
  </si>
  <si>
    <t>726370/1</t>
  </si>
  <si>
    <t>726147/1</t>
  </si>
  <si>
    <t>RQK-2D74/ALEXANDRE</t>
  </si>
  <si>
    <t>726406/1</t>
  </si>
  <si>
    <t>726579/1</t>
  </si>
  <si>
    <t>726610/1</t>
  </si>
  <si>
    <t>726256/1</t>
  </si>
  <si>
    <t>726454/1</t>
  </si>
  <si>
    <t>726232/1</t>
  </si>
  <si>
    <t>QSF-7679/GLADSTONE</t>
  </si>
  <si>
    <t>726198/1</t>
  </si>
  <si>
    <t>HZF-7H63/JADILSON</t>
  </si>
  <si>
    <t>PPM MATERIAIS DE CONSTRUCAO LTDA</t>
  </si>
  <si>
    <t>726365/1</t>
  </si>
  <si>
    <t>OXO-0942/VILARDO</t>
  </si>
  <si>
    <t>726313/1</t>
  </si>
  <si>
    <t>726399/1</t>
  </si>
  <si>
    <t>TST-7E54/ACIS</t>
  </si>
  <si>
    <t>726536/1</t>
  </si>
  <si>
    <t>726409/1</t>
  </si>
  <si>
    <t>OJY-1I75/NALDO</t>
  </si>
  <si>
    <t>ESTRELAO COMERCIO E REPRESENTACOES LTDA</t>
  </si>
  <si>
    <t>726137/1</t>
  </si>
  <si>
    <t>RGJ-9I24/LADESON</t>
  </si>
  <si>
    <t>INDUSTRIA E COMERCIO ESTRELAO LTDA</t>
  </si>
  <si>
    <t>726240/1</t>
  </si>
  <si>
    <t>RQK-1A62/RENATO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</si>
</sst>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4" fontId="0" fillId="0" borderId="1" xfId="0" applyNumberFormat="1" applyBorder="1"/>
    <xf numFmtId="164" fontId="2" fillId="2" borderId="1" xfId="0" applyNumberFormat="1" applyFont="1" applyFill="1" applyBorder="1"/>
    <xf numFmtId="4" fontId="0" fillId="0" borderId="0" xfId="0" applyNumberFormat="1"/>
    <xf numFmtId="8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FC8223-32BF-497E-B1C4-11368157D897}" name="Tabela1" displayName="Tabela1" ref="A1:H17" totalsRowShown="0" headerRowDxfId="8" headerRowBorderDxfId="7" tableBorderDxfId="6">
  <autoFilter ref="A1:H17" xr:uid="{A8FC8223-32BF-497E-B1C4-11368157D897}"/>
  <tableColumns count="8">
    <tableColumn id="1" xr3:uid="{DFEB0C08-E9FA-4F69-892B-C11538C99757}" name="cod_pessoa"/>
    <tableColumn id="2" xr3:uid="{797B5ACF-54AE-4293-97AF-3D49190E6BEE}" name="nom_pessoa"/>
    <tableColumn id="3" xr3:uid="{CCA016AD-B809-4473-9C8A-A470338E8E93}" name="val_duplicata" dataDxfId="5"/>
    <tableColumn id="4" xr3:uid="{6EF5CF7A-D601-4832-9B54-6117E7CD2BFD}" name="Total bancos" dataDxfId="4">
      <calculatedColumnFormula>SUM(F2:H2)</calculatedColumnFormula>
    </tableColumn>
    <tableColumn id="5" xr3:uid="{D12D9A24-F583-4A6D-8AAE-B26691C3627F}" name="DIF" dataDxfId="3">
      <calculatedColumnFormula>C2-D2</calculatedColumnFormula>
    </tableColumn>
    <tableColumn id="6" xr3:uid="{E79A8A02-8862-4ABA-B6ED-A1A5B2AE4EF4}" name="Stone" dataDxfId="2"/>
    <tableColumn id="7" xr3:uid="{93E0FEF1-7DD3-48D5-A86C-E5B1C3A81A2E}" name="Cielo" dataDxfId="1"/>
    <tableColumn id="8" xr3:uid="{1D4B8913-3047-4D09-9314-8D167C0262F5}" name="Si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C19" sqref="C19"/>
    </sheetView>
  </sheetViews>
  <sheetFormatPr defaultRowHeight="15" x14ac:dyDescent="0.25"/>
  <cols>
    <col min="1" max="1" width="15.85546875" bestFit="1" customWidth="1"/>
    <col min="2" max="2" width="48.28515625" bestFit="1" customWidth="1"/>
    <col min="3" max="3" width="17.28515625" bestFit="1" customWidth="1"/>
    <col min="4" max="4" width="16.5703125" bestFit="1" customWidth="1"/>
    <col min="5" max="5" width="13.28515625" bestFit="1" customWidth="1"/>
    <col min="6" max="6" width="12.140625" bestFit="1" customWidth="1"/>
    <col min="7" max="7" width="13.28515625" bestFit="1" customWidth="1"/>
    <col min="8" max="8" width="12.140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1710</v>
      </c>
      <c r="B2" t="s">
        <v>8</v>
      </c>
      <c r="C2" s="1">
        <v>5092.79</v>
      </c>
      <c r="D2" s="1">
        <f t="shared" ref="D2:D17" si="0">SUM(F2:H2)</f>
        <v>5092.79</v>
      </c>
      <c r="E2" s="1">
        <f t="shared" ref="E2:E17" si="1">C2-D2</f>
        <v>0</v>
      </c>
      <c r="F2" s="1">
        <v>0</v>
      </c>
      <c r="G2" s="1">
        <v>5092.79</v>
      </c>
      <c r="H2" s="1">
        <v>0</v>
      </c>
    </row>
    <row r="3" spans="1:8" x14ac:dyDescent="0.25">
      <c r="A3">
        <v>157</v>
      </c>
      <c r="B3" t="s">
        <v>9</v>
      </c>
      <c r="C3" s="1">
        <v>1815.41</v>
      </c>
      <c r="D3" s="1">
        <f t="shared" si="0"/>
        <v>1815.41</v>
      </c>
      <c r="E3" s="1">
        <f t="shared" si="1"/>
        <v>0</v>
      </c>
      <c r="F3" s="1">
        <v>0</v>
      </c>
      <c r="G3" s="1">
        <v>1815.41</v>
      </c>
      <c r="H3" s="1">
        <v>0</v>
      </c>
    </row>
    <row r="4" spans="1:8" x14ac:dyDescent="0.25">
      <c r="A4">
        <v>158</v>
      </c>
      <c r="B4" t="s">
        <v>10</v>
      </c>
      <c r="C4" s="1">
        <v>855.19</v>
      </c>
      <c r="D4" s="1">
        <f t="shared" si="0"/>
        <v>855.19</v>
      </c>
      <c r="E4" s="1">
        <f t="shared" si="1"/>
        <v>0</v>
      </c>
      <c r="F4" s="1">
        <v>0</v>
      </c>
      <c r="G4" s="1">
        <v>855.19</v>
      </c>
      <c r="H4" s="1">
        <v>0</v>
      </c>
    </row>
    <row r="5" spans="1:8" x14ac:dyDescent="0.25">
      <c r="A5">
        <v>165</v>
      </c>
      <c r="B5" t="s">
        <v>11</v>
      </c>
      <c r="C5" s="1">
        <v>620.97</v>
      </c>
      <c r="D5" s="1">
        <f t="shared" si="0"/>
        <v>620.97</v>
      </c>
      <c r="E5" s="1">
        <f t="shared" si="1"/>
        <v>0</v>
      </c>
      <c r="F5" s="1">
        <v>0</v>
      </c>
      <c r="G5" s="1">
        <v>0</v>
      </c>
      <c r="H5" s="1">
        <v>620.97</v>
      </c>
    </row>
    <row r="6" spans="1:8" x14ac:dyDescent="0.25">
      <c r="A6">
        <v>166</v>
      </c>
      <c r="B6" t="s">
        <v>12</v>
      </c>
      <c r="C6" s="1">
        <v>5184.96</v>
      </c>
      <c r="D6" s="1">
        <f t="shared" si="0"/>
        <v>5184.96</v>
      </c>
      <c r="E6" s="1">
        <f t="shared" si="1"/>
        <v>0</v>
      </c>
      <c r="F6" s="1">
        <v>4216.37</v>
      </c>
      <c r="G6" s="1">
        <v>564.91</v>
      </c>
      <c r="H6" s="1">
        <v>403.68</v>
      </c>
    </row>
    <row r="7" spans="1:8" x14ac:dyDescent="0.25">
      <c r="A7">
        <v>172</v>
      </c>
      <c r="B7" t="s">
        <v>13</v>
      </c>
      <c r="C7" s="1">
        <v>3936.75</v>
      </c>
      <c r="D7" s="1">
        <f t="shared" si="0"/>
        <v>3936.75</v>
      </c>
      <c r="E7" s="1">
        <f t="shared" si="1"/>
        <v>0</v>
      </c>
      <c r="F7" s="1">
        <v>0</v>
      </c>
      <c r="G7" s="1">
        <v>3936.75</v>
      </c>
      <c r="H7" s="1">
        <v>0</v>
      </c>
    </row>
    <row r="8" spans="1:8" x14ac:dyDescent="0.25">
      <c r="A8">
        <v>128</v>
      </c>
      <c r="B8" t="s">
        <v>14</v>
      </c>
      <c r="C8" s="1">
        <f>-150+10639.5-30</f>
        <v>10459.5</v>
      </c>
      <c r="D8" s="1">
        <f t="shared" si="0"/>
        <v>10459.5</v>
      </c>
      <c r="E8" s="1">
        <f t="shared" si="1"/>
        <v>0</v>
      </c>
      <c r="F8" s="1">
        <v>0</v>
      </c>
      <c r="G8" s="1">
        <v>10459.5</v>
      </c>
      <c r="H8" s="1">
        <v>0</v>
      </c>
    </row>
    <row r="9" spans="1:8" x14ac:dyDescent="0.25">
      <c r="A9">
        <v>169</v>
      </c>
      <c r="B9" t="s">
        <v>15</v>
      </c>
      <c r="C9" s="1">
        <f>-24+233.1</f>
        <v>209.1</v>
      </c>
      <c r="D9" s="1">
        <f t="shared" si="0"/>
        <v>209.1</v>
      </c>
      <c r="E9" s="1">
        <f t="shared" si="1"/>
        <v>0</v>
      </c>
      <c r="F9" s="1">
        <v>0</v>
      </c>
      <c r="G9" s="1">
        <v>209.1</v>
      </c>
      <c r="H9" s="1">
        <v>0</v>
      </c>
    </row>
    <row r="10" spans="1:8" x14ac:dyDescent="0.25">
      <c r="A10">
        <v>170</v>
      </c>
      <c r="B10" t="s">
        <v>58</v>
      </c>
      <c r="C10" s="1">
        <f>150+30</f>
        <v>180</v>
      </c>
      <c r="D10" s="1">
        <f>SUM(F10:H10)</f>
        <v>180</v>
      </c>
      <c r="E10" s="1">
        <f>C10-D10</f>
        <v>0</v>
      </c>
      <c r="F10" s="1">
        <v>0</v>
      </c>
      <c r="G10" s="1">
        <v>0</v>
      </c>
      <c r="H10" s="1">
        <v>180</v>
      </c>
    </row>
    <row r="11" spans="1:8" x14ac:dyDescent="0.25">
      <c r="A11">
        <v>171</v>
      </c>
      <c r="B11" t="s">
        <v>16</v>
      </c>
      <c r="C11" s="1">
        <v>4190.45</v>
      </c>
      <c r="D11" s="1">
        <f t="shared" si="0"/>
        <v>4190.4500000000007</v>
      </c>
      <c r="E11" s="1">
        <f t="shared" si="1"/>
        <v>0</v>
      </c>
      <c r="F11" s="1">
        <v>0</v>
      </c>
      <c r="G11" s="1">
        <v>0</v>
      </c>
      <c r="H11" s="1">
        <v>4190.4500000000007</v>
      </c>
    </row>
    <row r="12" spans="1:8" x14ac:dyDescent="0.25">
      <c r="A12">
        <v>2</v>
      </c>
      <c r="B12" t="s">
        <v>17</v>
      </c>
      <c r="C12" s="1">
        <v>8525.25</v>
      </c>
      <c r="D12" s="1">
        <f t="shared" si="0"/>
        <v>8525.25</v>
      </c>
      <c r="E12" s="1">
        <f t="shared" si="1"/>
        <v>0</v>
      </c>
      <c r="F12" s="1">
        <v>0</v>
      </c>
      <c r="G12" s="1">
        <v>8525.25</v>
      </c>
      <c r="H12" s="1">
        <v>0</v>
      </c>
    </row>
    <row r="13" spans="1:8" x14ac:dyDescent="0.25">
      <c r="A13">
        <v>3</v>
      </c>
      <c r="B13" t="s">
        <v>18</v>
      </c>
      <c r="C13" s="1">
        <v>4250.1899999999996</v>
      </c>
      <c r="D13" s="1">
        <f t="shared" si="0"/>
        <v>4250.1899999999996</v>
      </c>
      <c r="E13" s="1">
        <f t="shared" si="1"/>
        <v>0</v>
      </c>
      <c r="F13" s="1">
        <v>0</v>
      </c>
      <c r="G13" s="1">
        <v>4250.1899999999996</v>
      </c>
      <c r="H13" s="1">
        <v>0</v>
      </c>
    </row>
    <row r="14" spans="1:8" x14ac:dyDescent="0.25">
      <c r="A14">
        <v>1073</v>
      </c>
      <c r="B14" t="s">
        <v>19</v>
      </c>
      <c r="C14" s="1">
        <v>837.47</v>
      </c>
      <c r="D14" s="1">
        <f t="shared" si="0"/>
        <v>837.42</v>
      </c>
      <c r="E14" s="1">
        <f t="shared" si="1"/>
        <v>5.0000000000068212E-2</v>
      </c>
      <c r="F14" s="1">
        <v>0</v>
      </c>
      <c r="G14" s="1">
        <v>0</v>
      </c>
      <c r="H14" s="1">
        <v>837.42</v>
      </c>
    </row>
    <row r="15" spans="1:8" x14ac:dyDescent="0.25">
      <c r="A15">
        <v>2780</v>
      </c>
      <c r="B15" t="s">
        <v>20</v>
      </c>
      <c r="C15" s="1">
        <v>1178.0999999999999</v>
      </c>
      <c r="D15" s="1">
        <f t="shared" si="0"/>
        <v>1178.0999999999999</v>
      </c>
      <c r="E15" s="1">
        <f t="shared" si="1"/>
        <v>0</v>
      </c>
      <c r="F15" s="1">
        <v>0</v>
      </c>
      <c r="G15" s="1">
        <v>913.12</v>
      </c>
      <c r="H15" s="1">
        <v>264.98</v>
      </c>
    </row>
    <row r="16" spans="1:8" x14ac:dyDescent="0.25">
      <c r="A16">
        <v>4875</v>
      </c>
      <c r="B16" t="s">
        <v>21</v>
      </c>
      <c r="C16" s="1">
        <f>24+5290.25</f>
        <v>5314.25</v>
      </c>
      <c r="D16" s="1">
        <f t="shared" si="0"/>
        <v>5314.25</v>
      </c>
      <c r="E16" s="1">
        <f t="shared" si="1"/>
        <v>0</v>
      </c>
      <c r="F16" s="1">
        <v>5314.25</v>
      </c>
      <c r="G16" s="1">
        <v>0</v>
      </c>
      <c r="H16" s="1">
        <v>0</v>
      </c>
    </row>
    <row r="17" spans="1:8" x14ac:dyDescent="0.25">
      <c r="A17">
        <v>11</v>
      </c>
      <c r="B17" t="s">
        <v>22</v>
      </c>
      <c r="C17" s="1">
        <v>9738.99</v>
      </c>
      <c r="D17" s="1">
        <f t="shared" si="0"/>
        <v>9738.98</v>
      </c>
      <c r="E17" s="1">
        <f t="shared" si="1"/>
        <v>1.0000000000218279E-2</v>
      </c>
      <c r="F17" s="1">
        <v>0</v>
      </c>
      <c r="G17" s="1">
        <v>0</v>
      </c>
      <c r="H17" s="1">
        <v>9738.98</v>
      </c>
    </row>
    <row r="18" spans="1:8" x14ac:dyDescent="0.25">
      <c r="C18" s="3">
        <f>SUBTOTAL(109,Tabela1[val_duplicata])</f>
        <v>62389.369999999995</v>
      </c>
      <c r="D18" s="3" t="s">
        <v>52</v>
      </c>
    </row>
    <row r="19" spans="1:8" x14ac:dyDescent="0.25">
      <c r="C19" s="3">
        <v>0</v>
      </c>
      <c r="D19" s="3" t="s">
        <v>53</v>
      </c>
    </row>
    <row r="20" spans="1:8" x14ac:dyDescent="0.25">
      <c r="C20" s="3">
        <v>0</v>
      </c>
      <c r="D20" s="3" t="s">
        <v>54</v>
      </c>
    </row>
    <row r="21" spans="1:8" x14ac:dyDescent="0.25">
      <c r="C21" s="3">
        <v>13903.51</v>
      </c>
      <c r="D21" s="3" t="s">
        <v>55</v>
      </c>
    </row>
    <row r="22" spans="1:8" x14ac:dyDescent="0.25">
      <c r="C22" s="3">
        <v>2015</v>
      </c>
      <c r="D22" s="3" t="s">
        <v>56</v>
      </c>
    </row>
    <row r="23" spans="1:8" x14ac:dyDescent="0.25">
      <c r="C23" s="4">
        <f>SUM(C18:C22)</f>
        <v>78307.87999999999</v>
      </c>
      <c r="D23" s="4" t="s">
        <v>57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E272-D938-468B-AF1E-17F6E58E3B3D}">
  <dimension ref="A1:L41"/>
  <sheetViews>
    <sheetView workbookViewId="0">
      <selection activeCell="E43" sqref="E43"/>
    </sheetView>
  </sheetViews>
  <sheetFormatPr defaultRowHeight="15" x14ac:dyDescent="0.25"/>
  <cols>
    <col min="1" max="1" width="10.140625" bestFit="1" customWidth="1"/>
    <col min="2" max="2" width="8.85546875" bestFit="1" customWidth="1"/>
    <col min="3" max="3" width="9" bestFit="1" customWidth="1"/>
    <col min="4" max="4" width="10.28515625" bestFit="1" customWidth="1"/>
    <col min="5" max="5" width="28.28515625" bestFit="1" customWidth="1"/>
    <col min="6" max="6" width="10.5703125" bestFit="1" customWidth="1"/>
    <col min="7" max="7" width="10.7109375" bestFit="1" customWidth="1"/>
    <col min="8" max="8" width="11.85546875" bestFit="1" customWidth="1"/>
    <col min="9" max="9" width="18.5703125" bestFit="1" customWidth="1"/>
    <col min="10" max="10" width="9.85546875" bestFit="1" customWidth="1"/>
    <col min="11" max="11" width="6.140625" bestFit="1" customWidth="1"/>
    <col min="12" max="12" width="64.7109375" bestFit="1" customWidth="1"/>
  </cols>
  <sheetData>
    <row r="1" spans="1:12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</row>
    <row r="2" spans="1:12" x14ac:dyDescent="0.25">
      <c r="A2">
        <v>4267716</v>
      </c>
      <c r="B2" t="s">
        <v>89</v>
      </c>
      <c r="C2">
        <v>42.79</v>
      </c>
      <c r="D2" t="s">
        <v>90</v>
      </c>
      <c r="G2" s="9">
        <v>46079</v>
      </c>
      <c r="H2" s="9">
        <v>46079</v>
      </c>
      <c r="I2" t="s">
        <v>91</v>
      </c>
      <c r="J2" t="s">
        <v>92</v>
      </c>
      <c r="K2">
        <v>1</v>
      </c>
      <c r="L2" t="s">
        <v>93</v>
      </c>
    </row>
    <row r="3" spans="1:12" x14ac:dyDescent="0.25">
      <c r="A3">
        <v>4267522</v>
      </c>
      <c r="B3" t="s">
        <v>94</v>
      </c>
      <c r="C3">
        <v>49.1</v>
      </c>
      <c r="D3" t="s">
        <v>90</v>
      </c>
      <c r="E3" t="s">
        <v>95</v>
      </c>
      <c r="G3" s="9">
        <v>46079</v>
      </c>
      <c r="H3" s="9">
        <v>46079</v>
      </c>
      <c r="I3" t="s">
        <v>91</v>
      </c>
      <c r="J3" t="s">
        <v>92</v>
      </c>
      <c r="K3">
        <v>1</v>
      </c>
      <c r="L3" t="s">
        <v>93</v>
      </c>
    </row>
    <row r="4" spans="1:12" x14ac:dyDescent="0.25">
      <c r="A4">
        <v>4268038</v>
      </c>
      <c r="B4" t="s">
        <v>96</v>
      </c>
      <c r="C4">
        <v>49.24</v>
      </c>
      <c r="D4" t="s">
        <v>90</v>
      </c>
      <c r="E4" t="s">
        <v>97</v>
      </c>
      <c r="G4" s="9">
        <v>46079</v>
      </c>
      <c r="H4" s="9">
        <v>46079</v>
      </c>
      <c r="I4" t="s">
        <v>91</v>
      </c>
      <c r="J4" t="s">
        <v>92</v>
      </c>
      <c r="K4">
        <v>1</v>
      </c>
      <c r="L4" t="s">
        <v>93</v>
      </c>
    </row>
    <row r="5" spans="1:12" x14ac:dyDescent="0.25">
      <c r="A5">
        <v>4267895</v>
      </c>
      <c r="B5" t="s">
        <v>98</v>
      </c>
      <c r="C5">
        <v>49.24</v>
      </c>
      <c r="D5" t="s">
        <v>90</v>
      </c>
      <c r="E5" t="s">
        <v>99</v>
      </c>
      <c r="G5" s="9">
        <v>46079</v>
      </c>
      <c r="H5" s="9">
        <v>46079</v>
      </c>
      <c r="I5" t="s">
        <v>91</v>
      </c>
      <c r="J5" t="s">
        <v>92</v>
      </c>
      <c r="K5">
        <v>1</v>
      </c>
      <c r="L5" t="s">
        <v>93</v>
      </c>
    </row>
    <row r="6" spans="1:12" x14ac:dyDescent="0.25">
      <c r="A6">
        <v>4269387</v>
      </c>
      <c r="B6" t="s">
        <v>100</v>
      </c>
      <c r="C6">
        <v>50</v>
      </c>
      <c r="D6" t="s">
        <v>90</v>
      </c>
      <c r="G6" s="9">
        <v>46079</v>
      </c>
      <c r="H6" s="9">
        <v>46079</v>
      </c>
      <c r="I6" t="s">
        <v>91</v>
      </c>
      <c r="J6" t="s">
        <v>92</v>
      </c>
      <c r="K6">
        <v>1</v>
      </c>
      <c r="L6" t="s">
        <v>101</v>
      </c>
    </row>
    <row r="7" spans="1:12" x14ac:dyDescent="0.25">
      <c r="A7">
        <v>4268702</v>
      </c>
      <c r="B7" t="s">
        <v>102</v>
      </c>
      <c r="C7">
        <v>59.09</v>
      </c>
      <c r="D7" t="s">
        <v>90</v>
      </c>
      <c r="E7" t="s">
        <v>103</v>
      </c>
      <c r="G7" s="9">
        <v>46079</v>
      </c>
      <c r="H7" s="9">
        <v>46079</v>
      </c>
      <c r="I7" t="s">
        <v>91</v>
      </c>
      <c r="J7" t="s">
        <v>92</v>
      </c>
      <c r="K7">
        <v>1</v>
      </c>
      <c r="L7" t="s">
        <v>104</v>
      </c>
    </row>
    <row r="8" spans="1:12" x14ac:dyDescent="0.25">
      <c r="A8">
        <v>4267548</v>
      </c>
      <c r="B8" t="s">
        <v>105</v>
      </c>
      <c r="C8">
        <v>147.72</v>
      </c>
      <c r="D8" t="s">
        <v>90</v>
      </c>
      <c r="E8" t="s">
        <v>106</v>
      </c>
      <c r="G8" s="9">
        <v>46079</v>
      </c>
      <c r="H8" s="9">
        <v>46079</v>
      </c>
      <c r="I8" t="s">
        <v>91</v>
      </c>
      <c r="J8" t="s">
        <v>92</v>
      </c>
      <c r="K8">
        <v>1</v>
      </c>
      <c r="L8" t="s">
        <v>93</v>
      </c>
    </row>
    <row r="9" spans="1:12" x14ac:dyDescent="0.25">
      <c r="A9">
        <v>4269370</v>
      </c>
      <c r="B9" t="s">
        <v>107</v>
      </c>
      <c r="C9">
        <v>150</v>
      </c>
      <c r="D9" t="s">
        <v>90</v>
      </c>
      <c r="G9" s="9">
        <v>46079</v>
      </c>
      <c r="H9" s="9">
        <v>46079</v>
      </c>
      <c r="I9" t="s">
        <v>91</v>
      </c>
      <c r="J9" t="s">
        <v>92</v>
      </c>
      <c r="K9">
        <v>1</v>
      </c>
      <c r="L9" t="s">
        <v>101</v>
      </c>
    </row>
    <row r="10" spans="1:12" x14ac:dyDescent="0.25">
      <c r="A10">
        <v>4268684</v>
      </c>
      <c r="B10" t="s">
        <v>108</v>
      </c>
      <c r="C10">
        <v>159.66</v>
      </c>
      <c r="D10" t="s">
        <v>90</v>
      </c>
      <c r="E10" t="s">
        <v>109</v>
      </c>
      <c r="G10" s="9">
        <v>46079</v>
      </c>
      <c r="H10" s="9">
        <v>46111</v>
      </c>
      <c r="I10" t="s">
        <v>91</v>
      </c>
      <c r="J10" t="s">
        <v>92</v>
      </c>
      <c r="K10">
        <v>1</v>
      </c>
      <c r="L10" t="s">
        <v>110</v>
      </c>
    </row>
    <row r="11" spans="1:12" x14ac:dyDescent="0.25">
      <c r="A11">
        <v>4268402</v>
      </c>
      <c r="B11" t="s">
        <v>111</v>
      </c>
      <c r="C11">
        <v>168</v>
      </c>
      <c r="D11" t="s">
        <v>90</v>
      </c>
      <c r="G11" s="9">
        <v>46079</v>
      </c>
      <c r="H11" s="9">
        <v>46079</v>
      </c>
      <c r="I11" t="s">
        <v>91</v>
      </c>
      <c r="J11" t="s">
        <v>92</v>
      </c>
      <c r="K11">
        <v>1</v>
      </c>
      <c r="L11" t="s">
        <v>101</v>
      </c>
    </row>
    <row r="12" spans="1:12" x14ac:dyDescent="0.25">
      <c r="A12">
        <v>4269341</v>
      </c>
      <c r="B12" t="s">
        <v>112</v>
      </c>
      <c r="C12">
        <v>175.53</v>
      </c>
      <c r="D12" t="s">
        <v>90</v>
      </c>
      <c r="E12" t="s">
        <v>113</v>
      </c>
      <c r="G12" s="9">
        <v>46079</v>
      </c>
      <c r="H12" s="9">
        <v>46079</v>
      </c>
      <c r="I12" t="s">
        <v>91</v>
      </c>
      <c r="J12" t="s">
        <v>92</v>
      </c>
      <c r="K12">
        <v>1</v>
      </c>
      <c r="L12" t="s">
        <v>114</v>
      </c>
    </row>
    <row r="13" spans="1:12" x14ac:dyDescent="0.25">
      <c r="A13">
        <v>4267630</v>
      </c>
      <c r="B13" t="s">
        <v>115</v>
      </c>
      <c r="C13">
        <v>197.7</v>
      </c>
      <c r="D13" t="s">
        <v>90</v>
      </c>
      <c r="E13" t="s">
        <v>116</v>
      </c>
      <c r="G13" s="9">
        <v>46079</v>
      </c>
      <c r="H13" s="9">
        <v>46079</v>
      </c>
      <c r="I13" t="s">
        <v>91</v>
      </c>
      <c r="J13" t="s">
        <v>92</v>
      </c>
      <c r="K13">
        <v>1</v>
      </c>
      <c r="L13" t="s">
        <v>117</v>
      </c>
    </row>
    <row r="14" spans="1:12" x14ac:dyDescent="0.25">
      <c r="A14">
        <v>4268575</v>
      </c>
      <c r="B14" t="s">
        <v>118</v>
      </c>
      <c r="C14">
        <v>204.24</v>
      </c>
      <c r="D14" t="s">
        <v>90</v>
      </c>
      <c r="E14" t="s">
        <v>119</v>
      </c>
      <c r="G14" s="9">
        <v>46079</v>
      </c>
      <c r="H14" s="9">
        <v>46079</v>
      </c>
      <c r="I14" t="s">
        <v>91</v>
      </c>
      <c r="J14" t="s">
        <v>92</v>
      </c>
      <c r="K14">
        <v>1</v>
      </c>
      <c r="L14" t="s">
        <v>93</v>
      </c>
    </row>
    <row r="15" spans="1:12" x14ac:dyDescent="0.25">
      <c r="A15">
        <v>4268980</v>
      </c>
      <c r="B15" t="s">
        <v>120</v>
      </c>
      <c r="C15">
        <v>227.06</v>
      </c>
      <c r="D15" t="s">
        <v>90</v>
      </c>
      <c r="E15" t="s">
        <v>121</v>
      </c>
      <c r="G15" s="9">
        <v>46079</v>
      </c>
      <c r="H15" s="9">
        <v>46079</v>
      </c>
      <c r="I15" t="s">
        <v>91</v>
      </c>
      <c r="J15" t="s">
        <v>92</v>
      </c>
      <c r="K15">
        <v>1</v>
      </c>
      <c r="L15" t="s">
        <v>122</v>
      </c>
    </row>
    <row r="16" spans="1:12" x14ac:dyDescent="0.25">
      <c r="A16">
        <v>4268100</v>
      </c>
      <c r="B16" t="s">
        <v>123</v>
      </c>
      <c r="C16">
        <v>229.79</v>
      </c>
      <c r="D16" t="s">
        <v>90</v>
      </c>
      <c r="E16" t="s">
        <v>124</v>
      </c>
      <c r="G16" s="9">
        <v>46079</v>
      </c>
      <c r="H16" s="9">
        <v>46079</v>
      </c>
      <c r="I16" t="s">
        <v>91</v>
      </c>
      <c r="J16" t="s">
        <v>92</v>
      </c>
      <c r="K16">
        <v>1</v>
      </c>
      <c r="L16" t="s">
        <v>125</v>
      </c>
    </row>
    <row r="17" spans="1:12" x14ac:dyDescent="0.25">
      <c r="A17">
        <v>4268336</v>
      </c>
      <c r="B17" t="s">
        <v>126</v>
      </c>
      <c r="C17">
        <v>236.69</v>
      </c>
      <c r="D17" t="s">
        <v>90</v>
      </c>
      <c r="E17" t="s">
        <v>127</v>
      </c>
      <c r="G17" s="9">
        <v>46079</v>
      </c>
      <c r="H17" s="9">
        <v>46111</v>
      </c>
      <c r="I17" t="s">
        <v>91</v>
      </c>
      <c r="J17" t="s">
        <v>92</v>
      </c>
      <c r="K17">
        <v>1</v>
      </c>
      <c r="L17" t="s">
        <v>110</v>
      </c>
    </row>
    <row r="18" spans="1:12" x14ac:dyDescent="0.25">
      <c r="A18">
        <v>4267900</v>
      </c>
      <c r="B18" t="s">
        <v>128</v>
      </c>
      <c r="C18">
        <v>276.33</v>
      </c>
      <c r="D18" t="s">
        <v>90</v>
      </c>
      <c r="E18" t="s">
        <v>129</v>
      </c>
      <c r="G18" s="9">
        <v>46079</v>
      </c>
      <c r="H18" s="9">
        <v>46079</v>
      </c>
      <c r="I18" t="s">
        <v>91</v>
      </c>
      <c r="J18" t="s">
        <v>92</v>
      </c>
      <c r="K18">
        <v>1</v>
      </c>
      <c r="L18" t="s">
        <v>130</v>
      </c>
    </row>
    <row r="19" spans="1:12" x14ac:dyDescent="0.25">
      <c r="A19">
        <v>4268620</v>
      </c>
      <c r="B19" t="s">
        <v>131</v>
      </c>
      <c r="C19">
        <v>280.93</v>
      </c>
      <c r="D19" t="s">
        <v>90</v>
      </c>
      <c r="E19" t="s">
        <v>132</v>
      </c>
      <c r="G19" s="9">
        <v>46079</v>
      </c>
      <c r="H19" s="9">
        <v>46079</v>
      </c>
      <c r="I19" t="s">
        <v>91</v>
      </c>
      <c r="J19" t="s">
        <v>92</v>
      </c>
      <c r="K19">
        <v>1</v>
      </c>
      <c r="L19" t="s">
        <v>93</v>
      </c>
    </row>
    <row r="20" spans="1:12" x14ac:dyDescent="0.25">
      <c r="A20">
        <v>4268294</v>
      </c>
      <c r="B20" t="s">
        <v>133</v>
      </c>
      <c r="C20">
        <v>289.08999999999997</v>
      </c>
      <c r="D20" t="s">
        <v>90</v>
      </c>
      <c r="E20" t="s">
        <v>134</v>
      </c>
      <c r="G20" s="9">
        <v>46079</v>
      </c>
      <c r="H20" s="9">
        <v>46079</v>
      </c>
      <c r="I20" t="s">
        <v>91</v>
      </c>
      <c r="J20" t="s">
        <v>92</v>
      </c>
      <c r="K20">
        <v>1</v>
      </c>
      <c r="L20" t="s">
        <v>135</v>
      </c>
    </row>
    <row r="21" spans="1:12" x14ac:dyDescent="0.25">
      <c r="A21">
        <v>4268134</v>
      </c>
      <c r="B21" t="s">
        <v>136</v>
      </c>
      <c r="C21">
        <v>295.3</v>
      </c>
      <c r="D21" t="s">
        <v>90</v>
      </c>
      <c r="E21" t="s">
        <v>137</v>
      </c>
      <c r="G21" s="9">
        <v>46079</v>
      </c>
      <c r="H21" s="9">
        <v>46079</v>
      </c>
      <c r="I21" t="s">
        <v>91</v>
      </c>
      <c r="J21" t="s">
        <v>92</v>
      </c>
      <c r="K21">
        <v>1</v>
      </c>
      <c r="L21" t="s">
        <v>138</v>
      </c>
    </row>
    <row r="22" spans="1:12" x14ac:dyDescent="0.25">
      <c r="A22">
        <v>4268158</v>
      </c>
      <c r="B22" t="s">
        <v>139</v>
      </c>
      <c r="C22">
        <v>300.41000000000003</v>
      </c>
      <c r="D22" t="s">
        <v>90</v>
      </c>
      <c r="E22" t="s">
        <v>140</v>
      </c>
      <c r="G22" s="9">
        <v>46079</v>
      </c>
      <c r="H22" s="9">
        <v>46111</v>
      </c>
      <c r="I22" t="s">
        <v>91</v>
      </c>
      <c r="J22" t="s">
        <v>92</v>
      </c>
      <c r="K22">
        <v>1</v>
      </c>
      <c r="L22" t="s">
        <v>141</v>
      </c>
    </row>
    <row r="23" spans="1:12" x14ac:dyDescent="0.25">
      <c r="A23">
        <v>4268905</v>
      </c>
      <c r="B23" t="s">
        <v>142</v>
      </c>
      <c r="C23">
        <v>307</v>
      </c>
      <c r="D23" t="s">
        <v>90</v>
      </c>
      <c r="G23" s="9">
        <v>46079</v>
      </c>
      <c r="H23" s="9">
        <v>46079</v>
      </c>
      <c r="I23" t="s">
        <v>91</v>
      </c>
      <c r="J23" t="s">
        <v>92</v>
      </c>
      <c r="K23">
        <v>1</v>
      </c>
      <c r="L23" t="s">
        <v>101</v>
      </c>
    </row>
    <row r="24" spans="1:12" x14ac:dyDescent="0.25">
      <c r="A24">
        <v>4269296</v>
      </c>
      <c r="B24" t="s">
        <v>143</v>
      </c>
      <c r="C24">
        <v>307.55</v>
      </c>
      <c r="D24" t="s">
        <v>90</v>
      </c>
      <c r="E24" t="s">
        <v>144</v>
      </c>
      <c r="G24" s="9">
        <v>46079</v>
      </c>
      <c r="H24" s="9">
        <v>46079</v>
      </c>
      <c r="I24" t="s">
        <v>91</v>
      </c>
      <c r="J24" t="s">
        <v>92</v>
      </c>
      <c r="K24">
        <v>1</v>
      </c>
      <c r="L24" t="s">
        <v>145</v>
      </c>
    </row>
    <row r="25" spans="1:12" x14ac:dyDescent="0.25">
      <c r="A25">
        <v>4268554</v>
      </c>
      <c r="B25" t="s">
        <v>146</v>
      </c>
      <c r="C25">
        <v>310</v>
      </c>
      <c r="D25" t="s">
        <v>90</v>
      </c>
      <c r="G25" s="9">
        <v>46079</v>
      </c>
      <c r="H25" s="9">
        <v>46079</v>
      </c>
      <c r="I25" t="s">
        <v>91</v>
      </c>
      <c r="J25" t="s">
        <v>92</v>
      </c>
      <c r="K25">
        <v>1</v>
      </c>
      <c r="L25" t="s">
        <v>101</v>
      </c>
    </row>
    <row r="26" spans="1:12" x14ac:dyDescent="0.25">
      <c r="A26">
        <v>4267834</v>
      </c>
      <c r="B26" t="s">
        <v>147</v>
      </c>
      <c r="C26">
        <v>347.39</v>
      </c>
      <c r="D26" t="s">
        <v>90</v>
      </c>
      <c r="E26" t="s">
        <v>148</v>
      </c>
      <c r="G26" s="9">
        <v>46079</v>
      </c>
      <c r="H26" s="9">
        <v>46079</v>
      </c>
      <c r="I26" t="s">
        <v>91</v>
      </c>
      <c r="J26" t="s">
        <v>92</v>
      </c>
      <c r="K26">
        <v>1</v>
      </c>
      <c r="L26" t="s">
        <v>117</v>
      </c>
    </row>
    <row r="27" spans="1:12" x14ac:dyDescent="0.25">
      <c r="A27">
        <v>4268651</v>
      </c>
      <c r="B27" t="s">
        <v>149</v>
      </c>
      <c r="C27">
        <v>367</v>
      </c>
      <c r="D27" t="s">
        <v>90</v>
      </c>
      <c r="G27" s="9">
        <v>46079</v>
      </c>
      <c r="H27" s="9">
        <v>46079</v>
      </c>
      <c r="I27" t="s">
        <v>91</v>
      </c>
      <c r="J27" t="s">
        <v>92</v>
      </c>
      <c r="K27">
        <v>1</v>
      </c>
      <c r="L27" t="s">
        <v>101</v>
      </c>
    </row>
    <row r="28" spans="1:12" x14ac:dyDescent="0.25">
      <c r="A28">
        <v>4269223</v>
      </c>
      <c r="B28" t="s">
        <v>150</v>
      </c>
      <c r="C28">
        <v>390.03</v>
      </c>
      <c r="D28" t="s">
        <v>90</v>
      </c>
      <c r="G28" s="9">
        <v>46079</v>
      </c>
      <c r="H28" s="9">
        <v>46079</v>
      </c>
      <c r="I28" t="s">
        <v>91</v>
      </c>
      <c r="J28" t="s">
        <v>92</v>
      </c>
      <c r="K28">
        <v>1</v>
      </c>
      <c r="L28" t="s">
        <v>101</v>
      </c>
    </row>
    <row r="29" spans="1:12" x14ac:dyDescent="0.25">
      <c r="A29">
        <v>4269327</v>
      </c>
      <c r="B29" t="s">
        <v>151</v>
      </c>
      <c r="C29">
        <v>410</v>
      </c>
      <c r="D29" t="s">
        <v>90</v>
      </c>
      <c r="G29" s="9">
        <v>46079</v>
      </c>
      <c r="H29" s="9">
        <v>46079</v>
      </c>
      <c r="I29" t="s">
        <v>91</v>
      </c>
      <c r="J29" t="s">
        <v>92</v>
      </c>
      <c r="K29">
        <v>1</v>
      </c>
      <c r="L29" t="s">
        <v>101</v>
      </c>
    </row>
    <row r="30" spans="1:12" x14ac:dyDescent="0.25">
      <c r="A30">
        <v>4268185</v>
      </c>
      <c r="B30" t="s">
        <v>152</v>
      </c>
      <c r="C30">
        <v>450</v>
      </c>
      <c r="D30" t="s">
        <v>90</v>
      </c>
      <c r="G30" s="9">
        <v>46079</v>
      </c>
      <c r="H30" s="9">
        <v>46079</v>
      </c>
      <c r="I30" t="s">
        <v>91</v>
      </c>
      <c r="J30" t="s">
        <v>92</v>
      </c>
      <c r="K30">
        <v>1</v>
      </c>
      <c r="L30" t="s">
        <v>101</v>
      </c>
    </row>
    <row r="31" spans="1:12" x14ac:dyDescent="0.25">
      <c r="A31">
        <v>4268852</v>
      </c>
      <c r="B31" t="s">
        <v>153</v>
      </c>
      <c r="C31">
        <v>478.53</v>
      </c>
      <c r="D31" t="s">
        <v>90</v>
      </c>
      <c r="G31" s="9">
        <v>46079</v>
      </c>
      <c r="H31" s="9">
        <v>46079</v>
      </c>
      <c r="I31" t="s">
        <v>91</v>
      </c>
      <c r="J31" t="s">
        <v>92</v>
      </c>
      <c r="K31">
        <v>1</v>
      </c>
      <c r="L31" t="s">
        <v>101</v>
      </c>
    </row>
    <row r="32" spans="1:12" x14ac:dyDescent="0.25">
      <c r="A32">
        <v>4268108</v>
      </c>
      <c r="B32" t="s">
        <v>154</v>
      </c>
      <c r="C32">
        <v>545.36</v>
      </c>
      <c r="D32" t="s">
        <v>90</v>
      </c>
      <c r="E32" t="s">
        <v>155</v>
      </c>
      <c r="G32" s="9">
        <v>46079</v>
      </c>
      <c r="H32" s="9">
        <v>46079</v>
      </c>
      <c r="I32" t="s">
        <v>91</v>
      </c>
      <c r="J32" t="s">
        <v>92</v>
      </c>
      <c r="K32">
        <v>1</v>
      </c>
      <c r="L32" t="s">
        <v>125</v>
      </c>
    </row>
    <row r="33" spans="1:12" x14ac:dyDescent="0.25">
      <c r="A33">
        <v>4267997</v>
      </c>
      <c r="B33" t="s">
        <v>156</v>
      </c>
      <c r="C33">
        <v>588.04999999999995</v>
      </c>
      <c r="D33" t="s">
        <v>90</v>
      </c>
      <c r="E33" t="s">
        <v>157</v>
      </c>
      <c r="G33" s="9">
        <v>46079</v>
      </c>
      <c r="H33" s="9">
        <v>46079</v>
      </c>
      <c r="I33" t="s">
        <v>91</v>
      </c>
      <c r="J33" t="s">
        <v>92</v>
      </c>
      <c r="K33">
        <v>1</v>
      </c>
      <c r="L33" t="s">
        <v>158</v>
      </c>
    </row>
    <row r="34" spans="1:12" x14ac:dyDescent="0.25">
      <c r="A34">
        <v>4268529</v>
      </c>
      <c r="B34" t="s">
        <v>159</v>
      </c>
      <c r="C34">
        <v>671.74</v>
      </c>
      <c r="D34" t="s">
        <v>90</v>
      </c>
      <c r="E34" t="s">
        <v>160</v>
      </c>
      <c r="G34" s="9">
        <v>46079</v>
      </c>
      <c r="H34" s="9">
        <v>46079</v>
      </c>
      <c r="I34" t="s">
        <v>91</v>
      </c>
      <c r="J34" t="s">
        <v>92</v>
      </c>
      <c r="K34">
        <v>1</v>
      </c>
      <c r="L34" t="s">
        <v>125</v>
      </c>
    </row>
    <row r="35" spans="1:12" x14ac:dyDescent="0.25">
      <c r="A35">
        <v>4268368</v>
      </c>
      <c r="B35" t="s">
        <v>161</v>
      </c>
      <c r="C35">
        <v>695.06</v>
      </c>
      <c r="D35" t="s">
        <v>90</v>
      </c>
      <c r="G35" s="9">
        <v>46079</v>
      </c>
      <c r="H35" s="9">
        <v>46079</v>
      </c>
      <c r="I35" t="s">
        <v>91</v>
      </c>
      <c r="J35" t="s">
        <v>92</v>
      </c>
      <c r="K35">
        <v>1</v>
      </c>
      <c r="L35" t="s">
        <v>101</v>
      </c>
    </row>
    <row r="36" spans="1:12" x14ac:dyDescent="0.25">
      <c r="A36">
        <v>4268629</v>
      </c>
      <c r="B36" t="s">
        <v>162</v>
      </c>
      <c r="C36">
        <v>734.85</v>
      </c>
      <c r="D36" t="s">
        <v>90</v>
      </c>
      <c r="E36" t="s">
        <v>163</v>
      </c>
      <c r="G36" s="9">
        <v>46079</v>
      </c>
      <c r="H36" s="9">
        <v>46111</v>
      </c>
      <c r="I36" t="s">
        <v>91</v>
      </c>
      <c r="J36" t="s">
        <v>92</v>
      </c>
      <c r="K36">
        <v>1</v>
      </c>
      <c r="L36" t="s">
        <v>110</v>
      </c>
    </row>
    <row r="37" spans="1:12" x14ac:dyDescent="0.25">
      <c r="A37">
        <v>4269083</v>
      </c>
      <c r="B37" t="s">
        <v>164</v>
      </c>
      <c r="C37">
        <v>763.56</v>
      </c>
      <c r="D37" t="s">
        <v>90</v>
      </c>
      <c r="G37" s="9">
        <v>46079</v>
      </c>
      <c r="H37" s="9">
        <v>46079</v>
      </c>
      <c r="I37" t="s">
        <v>91</v>
      </c>
      <c r="J37" t="s">
        <v>92</v>
      </c>
      <c r="K37">
        <v>1</v>
      </c>
      <c r="L37" t="s">
        <v>101</v>
      </c>
    </row>
    <row r="38" spans="1:12" x14ac:dyDescent="0.25">
      <c r="A38">
        <v>4268668</v>
      </c>
      <c r="B38" t="s">
        <v>165</v>
      </c>
      <c r="C38">
        <v>787.61</v>
      </c>
      <c r="D38" t="s">
        <v>90</v>
      </c>
      <c r="E38" t="s">
        <v>166</v>
      </c>
      <c r="G38" s="9">
        <v>46079</v>
      </c>
      <c r="H38" s="9">
        <v>46079</v>
      </c>
      <c r="I38" t="s">
        <v>91</v>
      </c>
      <c r="J38" t="s">
        <v>92</v>
      </c>
      <c r="K38">
        <v>1</v>
      </c>
      <c r="L38" t="s">
        <v>167</v>
      </c>
    </row>
    <row r="39" spans="1:12" x14ac:dyDescent="0.25">
      <c r="A39">
        <v>4267752</v>
      </c>
      <c r="B39" t="s">
        <v>168</v>
      </c>
      <c r="C39" s="5">
        <v>1046.1400000000001</v>
      </c>
      <c r="D39" t="s">
        <v>90</v>
      </c>
      <c r="E39" t="s">
        <v>169</v>
      </c>
      <c r="G39" s="9">
        <v>46079</v>
      </c>
      <c r="H39" s="9">
        <v>46079</v>
      </c>
      <c r="I39" t="s">
        <v>91</v>
      </c>
      <c r="J39" t="s">
        <v>92</v>
      </c>
      <c r="K39">
        <v>1</v>
      </c>
      <c r="L39" t="s">
        <v>170</v>
      </c>
    </row>
    <row r="40" spans="1:12" x14ac:dyDescent="0.25">
      <c r="A40">
        <v>4268132</v>
      </c>
      <c r="B40" t="s">
        <v>171</v>
      </c>
      <c r="C40" s="5">
        <v>1065.73</v>
      </c>
      <c r="D40" t="s">
        <v>90</v>
      </c>
      <c r="E40" t="s">
        <v>172</v>
      </c>
      <c r="G40" s="9">
        <v>46079</v>
      </c>
      <c r="H40" s="9">
        <v>46079</v>
      </c>
      <c r="I40" t="s">
        <v>91</v>
      </c>
      <c r="J40" t="s">
        <v>92</v>
      </c>
      <c r="K40">
        <v>1</v>
      </c>
      <c r="L40" t="s">
        <v>170</v>
      </c>
    </row>
    <row r="41" spans="1:12" x14ac:dyDescent="0.25">
      <c r="C41">
        <f>SUM(C2:C40)</f>
        <v>13903.509999999998</v>
      </c>
      <c r="D41">
        <f>COUNT(C2:C40)</f>
        <v>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608C-B96F-41C3-A049-515194E3DB0A}">
  <dimension ref="A1:F19"/>
  <sheetViews>
    <sheetView workbookViewId="0">
      <selection activeCell="F19" sqref="F19"/>
    </sheetView>
  </sheetViews>
  <sheetFormatPr defaultRowHeight="15" x14ac:dyDescent="0.25"/>
  <cols>
    <col min="6" max="6" width="10.7109375" bestFit="1" customWidth="1"/>
  </cols>
  <sheetData>
    <row r="1" spans="1:6" x14ac:dyDescent="0.25">
      <c r="A1" t="s">
        <v>71</v>
      </c>
      <c r="B1" t="s">
        <v>72</v>
      </c>
      <c r="C1">
        <v>14428</v>
      </c>
      <c r="D1" s="7">
        <v>46079.360150462962</v>
      </c>
      <c r="E1" t="s">
        <v>59</v>
      </c>
      <c r="F1" s="6">
        <v>58.01</v>
      </c>
    </row>
    <row r="2" spans="1:6" x14ac:dyDescent="0.25">
      <c r="A2" t="s">
        <v>71</v>
      </c>
      <c r="B2" t="s">
        <v>75</v>
      </c>
      <c r="C2">
        <v>21126</v>
      </c>
      <c r="D2" s="7">
        <v>46079.479432870372</v>
      </c>
      <c r="E2" t="s">
        <v>59</v>
      </c>
      <c r="F2" s="6">
        <v>310.43</v>
      </c>
    </row>
    <row r="3" spans="1:6" x14ac:dyDescent="0.25">
      <c r="A3" t="s">
        <v>60</v>
      </c>
      <c r="B3" s="8">
        <v>8120</v>
      </c>
      <c r="C3">
        <v>70217</v>
      </c>
      <c r="D3" s="7">
        <v>46079.339189814818</v>
      </c>
      <c r="E3" t="s">
        <v>59</v>
      </c>
      <c r="F3" s="6">
        <v>540.25</v>
      </c>
    </row>
    <row r="4" spans="1:6" x14ac:dyDescent="0.25">
      <c r="A4" t="s">
        <v>60</v>
      </c>
      <c r="B4" t="s">
        <v>61</v>
      </c>
      <c r="C4">
        <v>51312</v>
      </c>
      <c r="D4" s="7">
        <v>46079.346944444442</v>
      </c>
      <c r="E4" t="s">
        <v>59</v>
      </c>
      <c r="F4" s="6">
        <v>176.97</v>
      </c>
    </row>
    <row r="5" spans="1:6" x14ac:dyDescent="0.25">
      <c r="A5" t="s">
        <v>60</v>
      </c>
      <c r="B5" t="s">
        <v>62</v>
      </c>
      <c r="C5">
        <v>12848</v>
      </c>
      <c r="D5" s="7">
        <v>46079.351655092592</v>
      </c>
      <c r="E5" t="s">
        <v>59</v>
      </c>
      <c r="F5" s="6">
        <v>65.900000000000006</v>
      </c>
    </row>
    <row r="6" spans="1:6" x14ac:dyDescent="0.25">
      <c r="A6" t="s">
        <v>60</v>
      </c>
      <c r="B6" t="s">
        <v>63</v>
      </c>
      <c r="C6">
        <v>43200</v>
      </c>
      <c r="D6" s="7">
        <v>46079.377835648149</v>
      </c>
      <c r="E6" t="s">
        <v>59</v>
      </c>
      <c r="F6" s="6">
        <v>348.7</v>
      </c>
    </row>
    <row r="7" spans="1:6" x14ac:dyDescent="0.25">
      <c r="A7" t="s">
        <v>60</v>
      </c>
      <c r="B7" t="s">
        <v>64</v>
      </c>
      <c r="C7">
        <v>16660</v>
      </c>
      <c r="D7" s="7">
        <v>46079.379143518519</v>
      </c>
      <c r="E7" t="s">
        <v>59</v>
      </c>
      <c r="F7" s="6">
        <v>249.67</v>
      </c>
    </row>
    <row r="8" spans="1:6" x14ac:dyDescent="0.25">
      <c r="A8" t="s">
        <v>60</v>
      </c>
      <c r="B8" t="s">
        <v>65</v>
      </c>
      <c r="C8">
        <v>80535</v>
      </c>
      <c r="D8" s="7">
        <v>46079.440636574072</v>
      </c>
      <c r="E8" t="s">
        <v>59</v>
      </c>
      <c r="F8" s="6">
        <v>314</v>
      </c>
    </row>
    <row r="9" spans="1:6" x14ac:dyDescent="0.25">
      <c r="A9" t="s">
        <v>60</v>
      </c>
      <c r="B9" t="s">
        <v>66</v>
      </c>
      <c r="C9">
        <v>39224</v>
      </c>
      <c r="D9" s="7">
        <v>46079.603275462963</v>
      </c>
      <c r="E9" t="s">
        <v>59</v>
      </c>
      <c r="F9" s="6">
        <v>60</v>
      </c>
    </row>
    <row r="10" spans="1:6" x14ac:dyDescent="0.25">
      <c r="A10" t="s">
        <v>60</v>
      </c>
      <c r="B10" t="s">
        <v>67</v>
      </c>
      <c r="C10">
        <v>95088</v>
      </c>
      <c r="D10" s="7">
        <v>46079.619803240741</v>
      </c>
      <c r="E10" t="s">
        <v>59</v>
      </c>
      <c r="F10" s="6">
        <v>76.680000000000007</v>
      </c>
    </row>
    <row r="11" spans="1:6" x14ac:dyDescent="0.25">
      <c r="A11" t="s">
        <v>60</v>
      </c>
      <c r="B11" t="s">
        <v>68</v>
      </c>
      <c r="C11">
        <v>78256</v>
      </c>
      <c r="D11" s="7">
        <v>46079.668182870373</v>
      </c>
      <c r="E11" t="s">
        <v>59</v>
      </c>
      <c r="F11" s="6">
        <v>499.9</v>
      </c>
    </row>
    <row r="12" spans="1:6" x14ac:dyDescent="0.25">
      <c r="A12" t="s">
        <v>60</v>
      </c>
      <c r="B12">
        <v>10160</v>
      </c>
      <c r="C12">
        <v>44492</v>
      </c>
      <c r="D12" s="7">
        <v>46079.717430555553</v>
      </c>
      <c r="E12" t="s">
        <v>59</v>
      </c>
      <c r="F12" s="6">
        <v>128.28</v>
      </c>
    </row>
    <row r="13" spans="1:6" x14ac:dyDescent="0.25">
      <c r="A13" t="s">
        <v>60</v>
      </c>
      <c r="B13" t="s">
        <v>69</v>
      </c>
      <c r="C13">
        <v>63216</v>
      </c>
      <c r="D13" s="7">
        <v>46079.750428240739</v>
      </c>
      <c r="E13" t="s">
        <v>59</v>
      </c>
      <c r="F13" s="6">
        <v>23.34</v>
      </c>
    </row>
    <row r="14" spans="1:6" x14ac:dyDescent="0.25">
      <c r="A14" t="s">
        <v>60</v>
      </c>
      <c r="B14" t="s">
        <v>69</v>
      </c>
      <c r="C14">
        <v>46645</v>
      </c>
      <c r="D14" s="7">
        <v>46079.756990740738</v>
      </c>
      <c r="E14" t="s">
        <v>59</v>
      </c>
      <c r="F14" s="6">
        <v>600</v>
      </c>
    </row>
    <row r="15" spans="1:6" x14ac:dyDescent="0.25">
      <c r="A15" t="s">
        <v>60</v>
      </c>
      <c r="B15">
        <v>10160</v>
      </c>
      <c r="C15">
        <v>22959</v>
      </c>
      <c r="D15" s="7">
        <v>46079.761076388888</v>
      </c>
      <c r="E15" t="s">
        <v>59</v>
      </c>
      <c r="F15" s="6">
        <v>575.07000000000005</v>
      </c>
    </row>
    <row r="16" spans="1:6" x14ac:dyDescent="0.25">
      <c r="A16" t="s">
        <v>60</v>
      </c>
      <c r="B16" t="s">
        <v>70</v>
      </c>
      <c r="C16">
        <v>33241</v>
      </c>
      <c r="D16" s="7">
        <v>46079.780532407407</v>
      </c>
      <c r="E16" t="s">
        <v>59</v>
      </c>
      <c r="F16" s="6">
        <v>30</v>
      </c>
    </row>
    <row r="17" spans="1:6" x14ac:dyDescent="0.25">
      <c r="A17" t="s">
        <v>73</v>
      </c>
      <c r="B17" t="s">
        <v>74</v>
      </c>
      <c r="C17">
        <v>96948</v>
      </c>
      <c r="D17" s="7">
        <v>46079.372002314813</v>
      </c>
      <c r="E17" t="s">
        <v>59</v>
      </c>
      <c r="F17" s="6">
        <v>108.25</v>
      </c>
    </row>
    <row r="18" spans="1:6" x14ac:dyDescent="0.25">
      <c r="A18" t="s">
        <v>73</v>
      </c>
      <c r="B18" t="s">
        <v>76</v>
      </c>
      <c r="C18">
        <v>35463</v>
      </c>
      <c r="D18" s="7">
        <v>46079.736631944441</v>
      </c>
      <c r="E18" t="s">
        <v>59</v>
      </c>
      <c r="F18" s="6">
        <v>25</v>
      </c>
    </row>
    <row r="19" spans="1:6" x14ac:dyDescent="0.25">
      <c r="F19" s="6">
        <f>SUM(F1:F18)</f>
        <v>4190.4500000000007</v>
      </c>
    </row>
  </sheetData>
  <sortState xmlns:xlrd2="http://schemas.microsoft.com/office/spreadsheetml/2017/richdata2" ref="A1:F36">
    <sortCondition ref="A1:A36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1EB6-1162-4AC9-A761-98CACEC4F5F5}">
  <dimension ref="A1:C552"/>
  <sheetViews>
    <sheetView topLeftCell="A531" workbookViewId="0">
      <selection activeCell="A552" sqref="A552"/>
    </sheetView>
  </sheetViews>
  <sheetFormatPr defaultRowHeight="15" x14ac:dyDescent="0.25"/>
  <cols>
    <col min="1" max="1" width="14.7109375" bestFit="1" customWidth="1"/>
    <col min="2" max="2" width="35.85546875" bestFit="1" customWidth="1"/>
    <col min="3" max="3" width="23.28515625" bestFit="1" customWidth="1"/>
  </cols>
  <sheetData>
    <row r="1" spans="1:3" x14ac:dyDescent="0.25">
      <c r="A1" t="s">
        <v>51</v>
      </c>
      <c r="B1" t="s">
        <v>1</v>
      </c>
      <c r="C1" t="s">
        <v>31</v>
      </c>
    </row>
    <row r="2" spans="1:3" x14ac:dyDescent="0.25">
      <c r="A2">
        <v>6</v>
      </c>
      <c r="B2" t="s">
        <v>24</v>
      </c>
      <c r="C2" t="s">
        <v>43</v>
      </c>
    </row>
    <row r="3" spans="1:3" x14ac:dyDescent="0.25">
      <c r="A3">
        <v>9</v>
      </c>
      <c r="B3" t="s">
        <v>28</v>
      </c>
      <c r="C3" t="s">
        <v>38</v>
      </c>
    </row>
    <row r="4" spans="1:3" x14ac:dyDescent="0.25">
      <c r="A4">
        <v>10</v>
      </c>
      <c r="B4" t="s">
        <v>23</v>
      </c>
      <c r="C4" t="s">
        <v>32</v>
      </c>
    </row>
    <row r="5" spans="1:3" x14ac:dyDescent="0.25">
      <c r="A5">
        <v>10</v>
      </c>
      <c r="B5" t="s">
        <v>24</v>
      </c>
      <c r="C5" t="s">
        <v>38</v>
      </c>
    </row>
    <row r="6" spans="1:3" x14ac:dyDescent="0.25">
      <c r="A6">
        <v>10</v>
      </c>
      <c r="B6" t="s">
        <v>24</v>
      </c>
      <c r="C6" t="s">
        <v>41</v>
      </c>
    </row>
    <row r="7" spans="1:3" x14ac:dyDescent="0.25">
      <c r="A7">
        <v>10</v>
      </c>
      <c r="B7" t="s">
        <v>24</v>
      </c>
      <c r="C7" t="s">
        <v>44</v>
      </c>
    </row>
    <row r="8" spans="1:3" x14ac:dyDescent="0.25">
      <c r="A8">
        <v>10</v>
      </c>
      <c r="B8" t="s">
        <v>25</v>
      </c>
      <c r="C8" t="s">
        <v>43</v>
      </c>
    </row>
    <row r="9" spans="1:3" x14ac:dyDescent="0.25">
      <c r="A9">
        <v>10</v>
      </c>
      <c r="B9" t="s">
        <v>25</v>
      </c>
      <c r="C9" t="s">
        <v>43</v>
      </c>
    </row>
    <row r="10" spans="1:3" x14ac:dyDescent="0.25">
      <c r="A10">
        <v>10</v>
      </c>
      <c r="B10" t="s">
        <v>25</v>
      </c>
      <c r="C10" t="s">
        <v>46</v>
      </c>
    </row>
    <row r="11" spans="1:3" x14ac:dyDescent="0.25">
      <c r="A11">
        <v>10</v>
      </c>
      <c r="B11" t="s">
        <v>26</v>
      </c>
      <c r="C11" t="s">
        <v>38</v>
      </c>
    </row>
    <row r="12" spans="1:3" x14ac:dyDescent="0.25">
      <c r="A12">
        <v>10</v>
      </c>
      <c r="B12" t="s">
        <v>26</v>
      </c>
      <c r="C12" t="s">
        <v>40</v>
      </c>
    </row>
    <row r="13" spans="1:3" x14ac:dyDescent="0.25">
      <c r="A13">
        <v>10</v>
      </c>
      <c r="B13" t="s">
        <v>28</v>
      </c>
      <c r="C13" t="s">
        <v>38</v>
      </c>
    </row>
    <row r="14" spans="1:3" x14ac:dyDescent="0.25">
      <c r="A14">
        <v>10</v>
      </c>
      <c r="B14" t="s">
        <v>28</v>
      </c>
      <c r="C14" t="s">
        <v>44</v>
      </c>
    </row>
    <row r="15" spans="1:3" x14ac:dyDescent="0.25">
      <c r="A15">
        <v>10</v>
      </c>
      <c r="B15" t="s">
        <v>28</v>
      </c>
      <c r="C15" t="s">
        <v>47</v>
      </c>
    </row>
    <row r="16" spans="1:3" x14ac:dyDescent="0.25">
      <c r="A16">
        <v>10</v>
      </c>
      <c r="B16" t="s">
        <v>29</v>
      </c>
      <c r="C16" t="s">
        <v>41</v>
      </c>
    </row>
    <row r="17" spans="1:3" x14ac:dyDescent="0.25">
      <c r="A17">
        <v>10</v>
      </c>
      <c r="B17" t="s">
        <v>30</v>
      </c>
      <c r="C17" t="s">
        <v>38</v>
      </c>
    </row>
    <row r="18" spans="1:3" x14ac:dyDescent="0.25">
      <c r="A18">
        <v>12</v>
      </c>
      <c r="B18" t="s">
        <v>27</v>
      </c>
      <c r="C18" t="s">
        <v>38</v>
      </c>
    </row>
    <row r="19" spans="1:3" x14ac:dyDescent="0.25">
      <c r="A19">
        <v>12.1</v>
      </c>
      <c r="B19" t="s">
        <v>25</v>
      </c>
      <c r="C19" t="s">
        <v>40</v>
      </c>
    </row>
    <row r="20" spans="1:3" x14ac:dyDescent="0.25">
      <c r="A20">
        <v>12.23</v>
      </c>
      <c r="B20" t="s">
        <v>28</v>
      </c>
      <c r="C20" t="s">
        <v>46</v>
      </c>
    </row>
    <row r="21" spans="1:3" x14ac:dyDescent="0.25">
      <c r="A21">
        <v>13.18</v>
      </c>
      <c r="B21" t="s">
        <v>25</v>
      </c>
      <c r="C21" t="s">
        <v>43</v>
      </c>
    </row>
    <row r="22" spans="1:3" x14ac:dyDescent="0.25">
      <c r="A22">
        <v>13.18</v>
      </c>
      <c r="B22" t="s">
        <v>25</v>
      </c>
      <c r="C22" t="s">
        <v>46</v>
      </c>
    </row>
    <row r="23" spans="1:3" x14ac:dyDescent="0.25">
      <c r="A23">
        <v>13.18</v>
      </c>
      <c r="B23" t="s">
        <v>30</v>
      </c>
      <c r="C23" t="s">
        <v>38</v>
      </c>
    </row>
    <row r="24" spans="1:3" x14ac:dyDescent="0.25">
      <c r="A24">
        <v>13.5</v>
      </c>
      <c r="B24" t="s">
        <v>29</v>
      </c>
      <c r="C24" t="s">
        <v>44</v>
      </c>
    </row>
    <row r="25" spans="1:3" x14ac:dyDescent="0.25">
      <c r="A25">
        <v>14.85</v>
      </c>
      <c r="B25" t="s">
        <v>29</v>
      </c>
      <c r="C25" t="s">
        <v>47</v>
      </c>
    </row>
    <row r="26" spans="1:3" x14ac:dyDescent="0.25">
      <c r="A26">
        <v>15</v>
      </c>
      <c r="B26" t="s">
        <v>24</v>
      </c>
      <c r="C26" t="s">
        <v>43</v>
      </c>
    </row>
    <row r="27" spans="1:3" x14ac:dyDescent="0.25">
      <c r="A27">
        <v>15</v>
      </c>
      <c r="B27" t="s">
        <v>25</v>
      </c>
      <c r="C27" t="s">
        <v>38</v>
      </c>
    </row>
    <row r="28" spans="1:3" x14ac:dyDescent="0.25">
      <c r="A28">
        <v>15</v>
      </c>
      <c r="B28" t="s">
        <v>28</v>
      </c>
      <c r="C28" t="s">
        <v>44</v>
      </c>
    </row>
    <row r="29" spans="1:3" x14ac:dyDescent="0.25">
      <c r="A29">
        <v>15</v>
      </c>
      <c r="B29" t="s">
        <v>29</v>
      </c>
      <c r="C29" t="s">
        <v>38</v>
      </c>
    </row>
    <row r="30" spans="1:3" x14ac:dyDescent="0.25">
      <c r="A30">
        <v>15</v>
      </c>
      <c r="B30" t="s">
        <v>30</v>
      </c>
      <c r="C30" t="s">
        <v>47</v>
      </c>
    </row>
    <row r="31" spans="1:3" x14ac:dyDescent="0.25">
      <c r="A31">
        <v>19.45</v>
      </c>
      <c r="B31" t="s">
        <v>28</v>
      </c>
      <c r="C31" t="s">
        <v>35</v>
      </c>
    </row>
    <row r="32" spans="1:3" x14ac:dyDescent="0.25">
      <c r="A32">
        <v>20</v>
      </c>
      <c r="B32" t="s">
        <v>24</v>
      </c>
      <c r="C32" t="s">
        <v>38</v>
      </c>
    </row>
    <row r="33" spans="1:3" x14ac:dyDescent="0.25">
      <c r="A33">
        <v>20</v>
      </c>
      <c r="B33" t="s">
        <v>24</v>
      </c>
      <c r="C33" t="s">
        <v>43</v>
      </c>
    </row>
    <row r="34" spans="1:3" x14ac:dyDescent="0.25">
      <c r="A34">
        <v>20</v>
      </c>
      <c r="B34" t="s">
        <v>25</v>
      </c>
      <c r="C34" t="s">
        <v>37</v>
      </c>
    </row>
    <row r="35" spans="1:3" x14ac:dyDescent="0.25">
      <c r="A35">
        <v>20</v>
      </c>
      <c r="B35" t="s">
        <v>25</v>
      </c>
      <c r="C35" t="s">
        <v>38</v>
      </c>
    </row>
    <row r="36" spans="1:3" x14ac:dyDescent="0.25">
      <c r="A36">
        <v>20</v>
      </c>
      <c r="B36" t="s">
        <v>25</v>
      </c>
      <c r="C36" t="s">
        <v>43</v>
      </c>
    </row>
    <row r="37" spans="1:3" x14ac:dyDescent="0.25">
      <c r="A37">
        <v>20</v>
      </c>
      <c r="B37" t="s">
        <v>25</v>
      </c>
      <c r="C37" t="s">
        <v>44</v>
      </c>
    </row>
    <row r="38" spans="1:3" x14ac:dyDescent="0.25">
      <c r="A38">
        <v>20</v>
      </c>
      <c r="B38" t="s">
        <v>25</v>
      </c>
      <c r="C38" t="s">
        <v>44</v>
      </c>
    </row>
    <row r="39" spans="1:3" x14ac:dyDescent="0.25">
      <c r="A39">
        <v>20</v>
      </c>
      <c r="B39" t="s">
        <v>25</v>
      </c>
      <c r="C39" t="s">
        <v>46</v>
      </c>
    </row>
    <row r="40" spans="1:3" x14ac:dyDescent="0.25">
      <c r="A40">
        <v>20</v>
      </c>
      <c r="B40" t="s">
        <v>25</v>
      </c>
      <c r="C40" t="s">
        <v>47</v>
      </c>
    </row>
    <row r="41" spans="1:3" x14ac:dyDescent="0.25">
      <c r="A41">
        <v>20</v>
      </c>
      <c r="B41" t="s">
        <v>25</v>
      </c>
      <c r="C41" t="s">
        <v>47</v>
      </c>
    </row>
    <row r="42" spans="1:3" x14ac:dyDescent="0.25">
      <c r="A42">
        <v>20</v>
      </c>
      <c r="B42" t="s">
        <v>26</v>
      </c>
      <c r="C42" t="s">
        <v>38</v>
      </c>
    </row>
    <row r="43" spans="1:3" x14ac:dyDescent="0.25">
      <c r="A43">
        <v>20</v>
      </c>
      <c r="B43" t="s">
        <v>26</v>
      </c>
      <c r="C43" t="s">
        <v>38</v>
      </c>
    </row>
    <row r="44" spans="1:3" x14ac:dyDescent="0.25">
      <c r="A44">
        <v>20</v>
      </c>
      <c r="B44" t="s">
        <v>26</v>
      </c>
      <c r="C44" t="s">
        <v>43</v>
      </c>
    </row>
    <row r="45" spans="1:3" x14ac:dyDescent="0.25">
      <c r="A45">
        <v>20</v>
      </c>
      <c r="B45" t="s">
        <v>26</v>
      </c>
      <c r="C45" t="s">
        <v>47</v>
      </c>
    </row>
    <row r="46" spans="1:3" x14ac:dyDescent="0.25">
      <c r="A46">
        <v>20</v>
      </c>
      <c r="B46" t="s">
        <v>28</v>
      </c>
      <c r="C46" t="s">
        <v>38</v>
      </c>
    </row>
    <row r="47" spans="1:3" x14ac:dyDescent="0.25">
      <c r="A47">
        <v>20</v>
      </c>
      <c r="B47" t="s">
        <v>28</v>
      </c>
      <c r="C47" t="s">
        <v>38</v>
      </c>
    </row>
    <row r="48" spans="1:3" x14ac:dyDescent="0.25">
      <c r="A48">
        <v>20</v>
      </c>
      <c r="B48" t="s">
        <v>28</v>
      </c>
      <c r="C48" t="s">
        <v>43</v>
      </c>
    </row>
    <row r="49" spans="1:3" x14ac:dyDescent="0.25">
      <c r="A49">
        <v>20</v>
      </c>
      <c r="B49" t="s">
        <v>28</v>
      </c>
      <c r="C49" t="s">
        <v>43</v>
      </c>
    </row>
    <row r="50" spans="1:3" x14ac:dyDescent="0.25">
      <c r="A50">
        <v>20</v>
      </c>
      <c r="B50" t="s">
        <v>29</v>
      </c>
      <c r="C50" t="s">
        <v>43</v>
      </c>
    </row>
    <row r="51" spans="1:3" x14ac:dyDescent="0.25">
      <c r="A51">
        <v>20</v>
      </c>
      <c r="B51" t="s">
        <v>29</v>
      </c>
      <c r="C51" t="s">
        <v>46</v>
      </c>
    </row>
    <row r="52" spans="1:3" x14ac:dyDescent="0.25">
      <c r="A52">
        <v>20</v>
      </c>
      <c r="B52" t="s">
        <v>29</v>
      </c>
      <c r="C52" t="s">
        <v>47</v>
      </c>
    </row>
    <row r="53" spans="1:3" x14ac:dyDescent="0.25">
      <c r="A53">
        <v>20</v>
      </c>
      <c r="B53" t="s">
        <v>30</v>
      </c>
      <c r="C53" t="s">
        <v>38</v>
      </c>
    </row>
    <row r="54" spans="1:3" x14ac:dyDescent="0.25">
      <c r="A54">
        <v>20</v>
      </c>
      <c r="B54" t="s">
        <v>30</v>
      </c>
      <c r="C54" t="s">
        <v>39</v>
      </c>
    </row>
    <row r="55" spans="1:3" x14ac:dyDescent="0.25">
      <c r="A55">
        <v>20.03</v>
      </c>
      <c r="B55" t="s">
        <v>30</v>
      </c>
      <c r="C55" t="s">
        <v>44</v>
      </c>
    </row>
    <row r="56" spans="1:3" x14ac:dyDescent="0.25">
      <c r="A56">
        <v>22.56</v>
      </c>
      <c r="B56" t="s">
        <v>28</v>
      </c>
      <c r="C56" t="s">
        <v>37</v>
      </c>
    </row>
    <row r="57" spans="1:3" x14ac:dyDescent="0.25">
      <c r="A57">
        <v>23</v>
      </c>
      <c r="B57" t="s">
        <v>30</v>
      </c>
      <c r="C57" t="s">
        <v>47</v>
      </c>
    </row>
    <row r="58" spans="1:3" x14ac:dyDescent="0.25">
      <c r="A58">
        <v>23.34</v>
      </c>
      <c r="B58" t="s">
        <v>30</v>
      </c>
      <c r="C58" t="s">
        <v>45</v>
      </c>
    </row>
    <row r="59" spans="1:3" x14ac:dyDescent="0.25">
      <c r="A59">
        <v>24</v>
      </c>
      <c r="B59" t="s">
        <v>29</v>
      </c>
      <c r="C59" t="s">
        <v>49</v>
      </c>
    </row>
    <row r="60" spans="1:3" x14ac:dyDescent="0.25">
      <c r="A60">
        <v>25</v>
      </c>
      <c r="B60" t="s">
        <v>24</v>
      </c>
      <c r="C60" t="s">
        <v>38</v>
      </c>
    </row>
    <row r="61" spans="1:3" x14ac:dyDescent="0.25">
      <c r="A61">
        <v>25</v>
      </c>
      <c r="B61" t="s">
        <v>24</v>
      </c>
      <c r="C61" t="s">
        <v>45</v>
      </c>
    </row>
    <row r="62" spans="1:3" x14ac:dyDescent="0.25">
      <c r="A62">
        <v>25</v>
      </c>
      <c r="B62" t="s">
        <v>25</v>
      </c>
      <c r="C62" t="s">
        <v>38</v>
      </c>
    </row>
    <row r="63" spans="1:3" x14ac:dyDescent="0.25">
      <c r="A63">
        <v>25</v>
      </c>
      <c r="B63" t="s">
        <v>25</v>
      </c>
      <c r="C63" t="s">
        <v>38</v>
      </c>
    </row>
    <row r="64" spans="1:3" x14ac:dyDescent="0.25">
      <c r="A64">
        <v>25</v>
      </c>
      <c r="B64" t="s">
        <v>28</v>
      </c>
      <c r="C64" t="s">
        <v>37</v>
      </c>
    </row>
    <row r="65" spans="1:3" x14ac:dyDescent="0.25">
      <c r="A65">
        <v>25</v>
      </c>
      <c r="B65" t="s">
        <v>29</v>
      </c>
      <c r="C65" t="s">
        <v>41</v>
      </c>
    </row>
    <row r="66" spans="1:3" x14ac:dyDescent="0.25">
      <c r="A66">
        <v>26.36</v>
      </c>
      <c r="B66" t="s">
        <v>30</v>
      </c>
      <c r="C66" t="s">
        <v>38</v>
      </c>
    </row>
    <row r="67" spans="1:3" x14ac:dyDescent="0.25">
      <c r="A67">
        <v>27</v>
      </c>
      <c r="B67" t="s">
        <v>26</v>
      </c>
      <c r="C67" t="s">
        <v>44</v>
      </c>
    </row>
    <row r="68" spans="1:3" x14ac:dyDescent="0.25">
      <c r="A68">
        <v>28</v>
      </c>
      <c r="B68" t="s">
        <v>30</v>
      </c>
      <c r="C68" t="s">
        <v>38</v>
      </c>
    </row>
    <row r="69" spans="1:3" x14ac:dyDescent="0.25">
      <c r="A69">
        <v>29.39</v>
      </c>
      <c r="B69" t="s">
        <v>25</v>
      </c>
      <c r="C69" t="s">
        <v>38</v>
      </c>
    </row>
    <row r="70" spans="1:3" x14ac:dyDescent="0.25">
      <c r="A70">
        <v>30</v>
      </c>
      <c r="B70" t="s">
        <v>24</v>
      </c>
      <c r="C70" t="s">
        <v>38</v>
      </c>
    </row>
    <row r="71" spans="1:3" x14ac:dyDescent="0.25">
      <c r="A71">
        <v>30</v>
      </c>
      <c r="B71" t="s">
        <v>24</v>
      </c>
      <c r="C71" t="s">
        <v>38</v>
      </c>
    </row>
    <row r="72" spans="1:3" x14ac:dyDescent="0.25">
      <c r="A72">
        <v>30</v>
      </c>
      <c r="B72" t="s">
        <v>24</v>
      </c>
      <c r="C72" t="s">
        <v>38</v>
      </c>
    </row>
    <row r="73" spans="1:3" x14ac:dyDescent="0.25">
      <c r="A73">
        <v>30</v>
      </c>
      <c r="B73" t="s">
        <v>24</v>
      </c>
      <c r="C73" t="s">
        <v>39</v>
      </c>
    </row>
    <row r="74" spans="1:3" x14ac:dyDescent="0.25">
      <c r="A74">
        <v>30</v>
      </c>
      <c r="B74" t="s">
        <v>24</v>
      </c>
      <c r="C74" t="s">
        <v>43</v>
      </c>
    </row>
    <row r="75" spans="1:3" x14ac:dyDescent="0.25">
      <c r="A75">
        <v>30</v>
      </c>
      <c r="B75" t="s">
        <v>24</v>
      </c>
      <c r="C75" t="s">
        <v>44</v>
      </c>
    </row>
    <row r="76" spans="1:3" x14ac:dyDescent="0.25">
      <c r="A76">
        <v>30</v>
      </c>
      <c r="B76" t="s">
        <v>25</v>
      </c>
      <c r="C76" t="s">
        <v>48</v>
      </c>
    </row>
    <row r="77" spans="1:3" x14ac:dyDescent="0.25">
      <c r="A77">
        <v>30</v>
      </c>
      <c r="B77" t="s">
        <v>25</v>
      </c>
      <c r="C77" t="s">
        <v>44</v>
      </c>
    </row>
    <row r="78" spans="1:3" x14ac:dyDescent="0.25">
      <c r="A78">
        <v>30</v>
      </c>
      <c r="B78" t="s">
        <v>25</v>
      </c>
      <c r="C78" t="s">
        <v>44</v>
      </c>
    </row>
    <row r="79" spans="1:3" x14ac:dyDescent="0.25">
      <c r="A79">
        <v>30</v>
      </c>
      <c r="B79" t="s">
        <v>25</v>
      </c>
      <c r="C79" t="s">
        <v>45</v>
      </c>
    </row>
    <row r="80" spans="1:3" x14ac:dyDescent="0.25">
      <c r="A80">
        <v>30</v>
      </c>
      <c r="B80" t="s">
        <v>26</v>
      </c>
      <c r="C80" t="s">
        <v>38</v>
      </c>
    </row>
    <row r="81" spans="1:3" x14ac:dyDescent="0.25">
      <c r="A81">
        <v>30</v>
      </c>
      <c r="B81" t="s">
        <v>26</v>
      </c>
      <c r="C81" t="s">
        <v>38</v>
      </c>
    </row>
    <row r="82" spans="1:3" x14ac:dyDescent="0.25">
      <c r="A82">
        <v>30</v>
      </c>
      <c r="B82" t="s">
        <v>26</v>
      </c>
      <c r="C82" t="s">
        <v>38</v>
      </c>
    </row>
    <row r="83" spans="1:3" x14ac:dyDescent="0.25">
      <c r="A83">
        <v>30</v>
      </c>
      <c r="B83" t="s">
        <v>26</v>
      </c>
      <c r="C83" t="s">
        <v>41</v>
      </c>
    </row>
    <row r="84" spans="1:3" x14ac:dyDescent="0.25">
      <c r="A84">
        <v>30</v>
      </c>
      <c r="B84" t="s">
        <v>27</v>
      </c>
      <c r="C84" t="s">
        <v>38</v>
      </c>
    </row>
    <row r="85" spans="1:3" x14ac:dyDescent="0.25">
      <c r="A85">
        <v>30</v>
      </c>
      <c r="B85" t="s">
        <v>27</v>
      </c>
      <c r="C85" t="s">
        <v>38</v>
      </c>
    </row>
    <row r="86" spans="1:3" x14ac:dyDescent="0.25">
      <c r="A86">
        <v>30</v>
      </c>
      <c r="B86" t="s">
        <v>27</v>
      </c>
      <c r="C86" t="s">
        <v>41</v>
      </c>
    </row>
    <row r="87" spans="1:3" x14ac:dyDescent="0.25">
      <c r="A87">
        <v>30</v>
      </c>
      <c r="B87" t="s">
        <v>28</v>
      </c>
      <c r="C87" t="s">
        <v>38</v>
      </c>
    </row>
    <row r="88" spans="1:3" x14ac:dyDescent="0.25">
      <c r="A88">
        <v>30</v>
      </c>
      <c r="B88" t="s">
        <v>28</v>
      </c>
      <c r="C88" t="s">
        <v>44</v>
      </c>
    </row>
    <row r="89" spans="1:3" x14ac:dyDescent="0.25">
      <c r="A89">
        <v>30</v>
      </c>
      <c r="B89" t="s">
        <v>29</v>
      </c>
      <c r="C89" t="s">
        <v>38</v>
      </c>
    </row>
    <row r="90" spans="1:3" x14ac:dyDescent="0.25">
      <c r="A90">
        <v>30</v>
      </c>
      <c r="B90" t="s">
        <v>29</v>
      </c>
      <c r="C90" t="s">
        <v>38</v>
      </c>
    </row>
    <row r="91" spans="1:3" x14ac:dyDescent="0.25">
      <c r="A91">
        <v>30</v>
      </c>
      <c r="B91" t="s">
        <v>29</v>
      </c>
      <c r="C91" t="s">
        <v>41</v>
      </c>
    </row>
    <row r="92" spans="1:3" x14ac:dyDescent="0.25">
      <c r="A92">
        <v>30</v>
      </c>
      <c r="B92" t="s">
        <v>29</v>
      </c>
      <c r="C92" t="s">
        <v>43</v>
      </c>
    </row>
    <row r="93" spans="1:3" x14ac:dyDescent="0.25">
      <c r="A93">
        <v>30</v>
      </c>
      <c r="B93" t="s">
        <v>29</v>
      </c>
      <c r="C93" t="s">
        <v>44</v>
      </c>
    </row>
    <row r="94" spans="1:3" x14ac:dyDescent="0.25">
      <c r="A94">
        <v>30</v>
      </c>
      <c r="B94" t="s">
        <v>29</v>
      </c>
      <c r="C94" t="s">
        <v>44</v>
      </c>
    </row>
    <row r="95" spans="1:3" x14ac:dyDescent="0.25">
      <c r="A95">
        <v>30</v>
      </c>
      <c r="B95" t="s">
        <v>30</v>
      </c>
      <c r="C95" t="s">
        <v>38</v>
      </c>
    </row>
    <row r="96" spans="1:3" x14ac:dyDescent="0.25">
      <c r="A96">
        <v>30</v>
      </c>
      <c r="B96" t="s">
        <v>30</v>
      </c>
      <c r="C96" t="s">
        <v>38</v>
      </c>
    </row>
    <row r="97" spans="1:3" x14ac:dyDescent="0.25">
      <c r="A97">
        <v>30</v>
      </c>
      <c r="B97" t="s">
        <v>30</v>
      </c>
      <c r="C97" t="s">
        <v>38</v>
      </c>
    </row>
    <row r="98" spans="1:3" x14ac:dyDescent="0.25">
      <c r="A98">
        <v>30</v>
      </c>
      <c r="B98" t="s">
        <v>30</v>
      </c>
      <c r="C98" t="s">
        <v>43</v>
      </c>
    </row>
    <row r="99" spans="1:3" x14ac:dyDescent="0.25">
      <c r="A99">
        <v>30</v>
      </c>
      <c r="B99" t="s">
        <v>30</v>
      </c>
      <c r="C99" t="s">
        <v>47</v>
      </c>
    </row>
    <row r="100" spans="1:3" x14ac:dyDescent="0.25">
      <c r="A100">
        <v>30.91</v>
      </c>
      <c r="B100" t="s">
        <v>24</v>
      </c>
      <c r="C100" t="s">
        <v>38</v>
      </c>
    </row>
    <row r="101" spans="1:3" x14ac:dyDescent="0.25">
      <c r="A101">
        <v>32.950000000000003</v>
      </c>
      <c r="B101" t="s">
        <v>24</v>
      </c>
      <c r="C101" t="s">
        <v>43</v>
      </c>
    </row>
    <row r="102" spans="1:3" x14ac:dyDescent="0.25">
      <c r="A102">
        <v>32.950000000000003</v>
      </c>
      <c r="B102" t="s">
        <v>27</v>
      </c>
      <c r="C102" t="s">
        <v>43</v>
      </c>
    </row>
    <row r="103" spans="1:3" x14ac:dyDescent="0.25">
      <c r="A103">
        <v>32.950000000000003</v>
      </c>
      <c r="B103" t="s">
        <v>30</v>
      </c>
      <c r="C103" t="s">
        <v>47</v>
      </c>
    </row>
    <row r="104" spans="1:3" x14ac:dyDescent="0.25">
      <c r="A104">
        <v>35</v>
      </c>
      <c r="B104" t="s">
        <v>24</v>
      </c>
      <c r="C104" t="s">
        <v>38</v>
      </c>
    </row>
    <row r="105" spans="1:3" x14ac:dyDescent="0.25">
      <c r="A105">
        <v>35</v>
      </c>
      <c r="B105" t="s">
        <v>25</v>
      </c>
      <c r="C105" t="s">
        <v>38</v>
      </c>
    </row>
    <row r="106" spans="1:3" x14ac:dyDescent="0.25">
      <c r="A106">
        <v>35</v>
      </c>
      <c r="B106" t="s">
        <v>28</v>
      </c>
      <c r="C106" t="s">
        <v>44</v>
      </c>
    </row>
    <row r="107" spans="1:3" x14ac:dyDescent="0.25">
      <c r="A107">
        <v>35</v>
      </c>
      <c r="B107" t="s">
        <v>29</v>
      </c>
      <c r="C107" t="s">
        <v>32</v>
      </c>
    </row>
    <row r="108" spans="1:3" x14ac:dyDescent="0.25">
      <c r="A108">
        <v>35</v>
      </c>
      <c r="B108" t="s">
        <v>30</v>
      </c>
      <c r="C108" t="s">
        <v>40</v>
      </c>
    </row>
    <row r="109" spans="1:3" x14ac:dyDescent="0.25">
      <c r="A109">
        <v>35.119999999999997</v>
      </c>
      <c r="B109" t="s">
        <v>30</v>
      </c>
      <c r="C109" t="s">
        <v>38</v>
      </c>
    </row>
    <row r="110" spans="1:3" x14ac:dyDescent="0.25">
      <c r="A110">
        <v>35.93</v>
      </c>
      <c r="B110" t="s">
        <v>25</v>
      </c>
      <c r="C110" t="s">
        <v>44</v>
      </c>
    </row>
    <row r="111" spans="1:3" x14ac:dyDescent="0.25">
      <c r="A111">
        <v>37.299999999999997</v>
      </c>
      <c r="B111" t="s">
        <v>26</v>
      </c>
      <c r="C111" t="s">
        <v>47</v>
      </c>
    </row>
    <row r="112" spans="1:3" x14ac:dyDescent="0.25">
      <c r="A112">
        <v>38</v>
      </c>
      <c r="B112" t="s">
        <v>24</v>
      </c>
      <c r="C112" t="s">
        <v>38</v>
      </c>
    </row>
    <row r="113" spans="1:3" x14ac:dyDescent="0.25">
      <c r="A113">
        <v>40</v>
      </c>
      <c r="B113" t="s">
        <v>24</v>
      </c>
      <c r="C113" t="s">
        <v>43</v>
      </c>
    </row>
    <row r="114" spans="1:3" x14ac:dyDescent="0.25">
      <c r="A114">
        <v>40</v>
      </c>
      <c r="B114" t="s">
        <v>24</v>
      </c>
      <c r="C114" t="s">
        <v>43</v>
      </c>
    </row>
    <row r="115" spans="1:3" x14ac:dyDescent="0.25">
      <c r="A115">
        <v>40</v>
      </c>
      <c r="B115" t="s">
        <v>25</v>
      </c>
      <c r="C115" t="s">
        <v>38</v>
      </c>
    </row>
    <row r="116" spans="1:3" x14ac:dyDescent="0.25">
      <c r="A116">
        <v>40</v>
      </c>
      <c r="B116" t="s">
        <v>25</v>
      </c>
      <c r="C116" t="s">
        <v>41</v>
      </c>
    </row>
    <row r="117" spans="1:3" x14ac:dyDescent="0.25">
      <c r="A117">
        <v>40</v>
      </c>
      <c r="B117" t="s">
        <v>26</v>
      </c>
      <c r="C117" t="s">
        <v>46</v>
      </c>
    </row>
    <row r="118" spans="1:3" x14ac:dyDescent="0.25">
      <c r="A118">
        <v>40</v>
      </c>
      <c r="B118" t="s">
        <v>28</v>
      </c>
      <c r="C118" t="s">
        <v>34</v>
      </c>
    </row>
    <row r="119" spans="1:3" x14ac:dyDescent="0.25">
      <c r="A119">
        <v>40</v>
      </c>
      <c r="B119" t="s">
        <v>28</v>
      </c>
      <c r="C119" t="s">
        <v>43</v>
      </c>
    </row>
    <row r="120" spans="1:3" x14ac:dyDescent="0.25">
      <c r="A120">
        <v>40</v>
      </c>
      <c r="B120" t="s">
        <v>28</v>
      </c>
      <c r="C120" t="s">
        <v>44</v>
      </c>
    </row>
    <row r="121" spans="1:3" x14ac:dyDescent="0.25">
      <c r="A121">
        <v>40</v>
      </c>
      <c r="B121" t="s">
        <v>28</v>
      </c>
      <c r="C121" t="s">
        <v>44</v>
      </c>
    </row>
    <row r="122" spans="1:3" x14ac:dyDescent="0.25">
      <c r="A122">
        <v>40</v>
      </c>
      <c r="B122" t="s">
        <v>29</v>
      </c>
      <c r="C122" t="s">
        <v>47</v>
      </c>
    </row>
    <row r="123" spans="1:3" x14ac:dyDescent="0.25">
      <c r="A123">
        <v>40</v>
      </c>
      <c r="B123" t="s">
        <v>30</v>
      </c>
      <c r="C123" t="s">
        <v>43</v>
      </c>
    </row>
    <row r="124" spans="1:3" x14ac:dyDescent="0.25">
      <c r="A124">
        <v>42.79</v>
      </c>
      <c r="B124" t="s">
        <v>29</v>
      </c>
      <c r="C124" t="s">
        <v>37</v>
      </c>
    </row>
    <row r="125" spans="1:3" x14ac:dyDescent="0.25">
      <c r="A125">
        <v>43.03</v>
      </c>
      <c r="B125" t="s">
        <v>24</v>
      </c>
      <c r="C125" t="s">
        <v>44</v>
      </c>
    </row>
    <row r="126" spans="1:3" x14ac:dyDescent="0.25">
      <c r="A126">
        <v>46.13</v>
      </c>
      <c r="B126" t="s">
        <v>30</v>
      </c>
      <c r="C126" t="s">
        <v>44</v>
      </c>
    </row>
    <row r="127" spans="1:3" x14ac:dyDescent="0.25">
      <c r="A127">
        <v>46.68</v>
      </c>
      <c r="B127" t="s">
        <v>30</v>
      </c>
      <c r="C127" t="s">
        <v>38</v>
      </c>
    </row>
    <row r="128" spans="1:3" x14ac:dyDescent="0.25">
      <c r="A128">
        <v>48</v>
      </c>
      <c r="B128" t="s">
        <v>24</v>
      </c>
      <c r="C128" t="s">
        <v>38</v>
      </c>
    </row>
    <row r="129" spans="1:3" x14ac:dyDescent="0.25">
      <c r="A129">
        <v>49.1</v>
      </c>
      <c r="B129" t="s">
        <v>24</v>
      </c>
      <c r="C129" t="s">
        <v>33</v>
      </c>
    </row>
    <row r="130" spans="1:3" x14ac:dyDescent="0.25">
      <c r="A130">
        <v>49.24</v>
      </c>
      <c r="B130" t="s">
        <v>26</v>
      </c>
      <c r="C130" t="s">
        <v>33</v>
      </c>
    </row>
    <row r="131" spans="1:3" x14ac:dyDescent="0.25">
      <c r="A131">
        <v>49.24</v>
      </c>
      <c r="B131" t="s">
        <v>28</v>
      </c>
      <c r="C131" t="s">
        <v>33</v>
      </c>
    </row>
    <row r="132" spans="1:3" x14ac:dyDescent="0.25">
      <c r="A132">
        <v>49.62</v>
      </c>
      <c r="B132" t="s">
        <v>28</v>
      </c>
      <c r="C132" t="s">
        <v>44</v>
      </c>
    </row>
    <row r="133" spans="1:3" x14ac:dyDescent="0.25">
      <c r="A133">
        <v>49.86</v>
      </c>
      <c r="B133" t="s">
        <v>25</v>
      </c>
      <c r="C133" t="s">
        <v>36</v>
      </c>
    </row>
    <row r="134" spans="1:3" x14ac:dyDescent="0.25">
      <c r="A134">
        <v>50</v>
      </c>
      <c r="B134" t="s">
        <v>24</v>
      </c>
      <c r="C134" t="s">
        <v>38</v>
      </c>
    </row>
    <row r="135" spans="1:3" x14ac:dyDescent="0.25">
      <c r="A135">
        <v>50</v>
      </c>
      <c r="B135" t="s">
        <v>24</v>
      </c>
      <c r="C135" t="s">
        <v>38</v>
      </c>
    </row>
    <row r="136" spans="1:3" x14ac:dyDescent="0.25">
      <c r="A136">
        <v>50</v>
      </c>
      <c r="B136" t="s">
        <v>24</v>
      </c>
      <c r="C136" t="s">
        <v>38</v>
      </c>
    </row>
    <row r="137" spans="1:3" x14ac:dyDescent="0.25">
      <c r="A137">
        <v>50</v>
      </c>
      <c r="B137" t="s">
        <v>24</v>
      </c>
      <c r="C137" t="s">
        <v>38</v>
      </c>
    </row>
    <row r="138" spans="1:3" x14ac:dyDescent="0.25">
      <c r="A138">
        <v>50</v>
      </c>
      <c r="B138" t="s">
        <v>24</v>
      </c>
      <c r="C138" t="s">
        <v>43</v>
      </c>
    </row>
    <row r="139" spans="1:3" x14ac:dyDescent="0.25">
      <c r="A139">
        <v>50</v>
      </c>
      <c r="B139" t="s">
        <v>24</v>
      </c>
      <c r="C139" t="s">
        <v>43</v>
      </c>
    </row>
    <row r="140" spans="1:3" x14ac:dyDescent="0.25">
      <c r="A140">
        <v>50</v>
      </c>
      <c r="B140" t="s">
        <v>24</v>
      </c>
      <c r="C140" t="s">
        <v>44</v>
      </c>
    </row>
    <row r="141" spans="1:3" x14ac:dyDescent="0.25">
      <c r="A141">
        <v>50</v>
      </c>
      <c r="B141" t="s">
        <v>24</v>
      </c>
      <c r="C141" t="s">
        <v>44</v>
      </c>
    </row>
    <row r="142" spans="1:3" x14ac:dyDescent="0.25">
      <c r="A142">
        <v>50</v>
      </c>
      <c r="B142" t="s">
        <v>24</v>
      </c>
      <c r="C142" t="s">
        <v>44</v>
      </c>
    </row>
    <row r="143" spans="1:3" x14ac:dyDescent="0.25">
      <c r="A143">
        <v>50</v>
      </c>
      <c r="B143" t="s">
        <v>24</v>
      </c>
      <c r="C143" t="s">
        <v>44</v>
      </c>
    </row>
    <row r="144" spans="1:3" x14ac:dyDescent="0.25">
      <c r="A144">
        <v>50</v>
      </c>
      <c r="B144" t="s">
        <v>24</v>
      </c>
      <c r="C144" t="s">
        <v>46</v>
      </c>
    </row>
    <row r="145" spans="1:3" x14ac:dyDescent="0.25">
      <c r="A145">
        <v>50</v>
      </c>
      <c r="B145" t="s">
        <v>24</v>
      </c>
      <c r="C145" t="s">
        <v>46</v>
      </c>
    </row>
    <row r="146" spans="1:3" x14ac:dyDescent="0.25">
      <c r="A146">
        <v>50</v>
      </c>
      <c r="B146" t="s">
        <v>24</v>
      </c>
      <c r="C146" t="s">
        <v>46</v>
      </c>
    </row>
    <row r="147" spans="1:3" x14ac:dyDescent="0.25">
      <c r="A147">
        <v>50</v>
      </c>
      <c r="B147" t="s">
        <v>24</v>
      </c>
      <c r="C147" t="s">
        <v>47</v>
      </c>
    </row>
    <row r="148" spans="1:3" x14ac:dyDescent="0.25">
      <c r="A148">
        <v>50</v>
      </c>
      <c r="B148" t="s">
        <v>24</v>
      </c>
      <c r="C148" t="s">
        <v>47</v>
      </c>
    </row>
    <row r="149" spans="1:3" x14ac:dyDescent="0.25">
      <c r="A149">
        <v>50</v>
      </c>
      <c r="B149" t="s">
        <v>25</v>
      </c>
      <c r="C149" t="s">
        <v>38</v>
      </c>
    </row>
    <row r="150" spans="1:3" x14ac:dyDescent="0.25">
      <c r="A150">
        <v>50</v>
      </c>
      <c r="B150" t="s">
        <v>25</v>
      </c>
      <c r="C150" t="s">
        <v>38</v>
      </c>
    </row>
    <row r="151" spans="1:3" x14ac:dyDescent="0.25">
      <c r="A151">
        <v>50</v>
      </c>
      <c r="B151" t="s">
        <v>25</v>
      </c>
      <c r="C151" t="s">
        <v>38</v>
      </c>
    </row>
    <row r="152" spans="1:3" x14ac:dyDescent="0.25">
      <c r="A152">
        <v>50</v>
      </c>
      <c r="B152" t="s">
        <v>25</v>
      </c>
      <c r="C152" t="s">
        <v>38</v>
      </c>
    </row>
    <row r="153" spans="1:3" x14ac:dyDescent="0.25">
      <c r="A153">
        <v>50</v>
      </c>
      <c r="B153" t="s">
        <v>25</v>
      </c>
      <c r="C153" t="s">
        <v>38</v>
      </c>
    </row>
    <row r="154" spans="1:3" x14ac:dyDescent="0.25">
      <c r="A154">
        <v>50</v>
      </c>
      <c r="B154" t="s">
        <v>25</v>
      </c>
      <c r="C154" t="s">
        <v>43</v>
      </c>
    </row>
    <row r="155" spans="1:3" x14ac:dyDescent="0.25">
      <c r="A155">
        <v>50</v>
      </c>
      <c r="B155" t="s">
        <v>25</v>
      </c>
      <c r="C155" t="s">
        <v>43</v>
      </c>
    </row>
    <row r="156" spans="1:3" x14ac:dyDescent="0.25">
      <c r="A156">
        <v>50</v>
      </c>
      <c r="B156" t="s">
        <v>25</v>
      </c>
      <c r="C156" t="s">
        <v>43</v>
      </c>
    </row>
    <row r="157" spans="1:3" x14ac:dyDescent="0.25">
      <c r="A157">
        <v>50</v>
      </c>
      <c r="B157" t="s">
        <v>25</v>
      </c>
      <c r="C157" t="s">
        <v>44</v>
      </c>
    </row>
    <row r="158" spans="1:3" x14ac:dyDescent="0.25">
      <c r="A158">
        <v>50</v>
      </c>
      <c r="B158" t="s">
        <v>25</v>
      </c>
      <c r="C158" t="s">
        <v>44</v>
      </c>
    </row>
    <row r="159" spans="1:3" x14ac:dyDescent="0.25">
      <c r="A159">
        <v>50</v>
      </c>
      <c r="B159" t="s">
        <v>26</v>
      </c>
      <c r="C159" t="s">
        <v>37</v>
      </c>
    </row>
    <row r="160" spans="1:3" x14ac:dyDescent="0.25">
      <c r="A160">
        <v>50</v>
      </c>
      <c r="B160" t="s">
        <v>26</v>
      </c>
      <c r="C160" t="s">
        <v>40</v>
      </c>
    </row>
    <row r="161" spans="1:3" x14ac:dyDescent="0.25">
      <c r="A161">
        <v>50</v>
      </c>
      <c r="B161" t="s">
        <v>26</v>
      </c>
      <c r="C161" t="s">
        <v>40</v>
      </c>
    </row>
    <row r="162" spans="1:3" x14ac:dyDescent="0.25">
      <c r="A162">
        <v>50</v>
      </c>
      <c r="B162" t="s">
        <v>26</v>
      </c>
      <c r="C162" t="s">
        <v>43</v>
      </c>
    </row>
    <row r="163" spans="1:3" x14ac:dyDescent="0.25">
      <c r="A163">
        <v>50</v>
      </c>
      <c r="B163" t="s">
        <v>26</v>
      </c>
      <c r="C163" t="s">
        <v>43</v>
      </c>
    </row>
    <row r="164" spans="1:3" x14ac:dyDescent="0.25">
      <c r="A164">
        <v>50</v>
      </c>
      <c r="B164" t="s">
        <v>26</v>
      </c>
      <c r="C164" t="s">
        <v>44</v>
      </c>
    </row>
    <row r="165" spans="1:3" x14ac:dyDescent="0.25">
      <c r="A165">
        <v>50</v>
      </c>
      <c r="B165" t="s">
        <v>26</v>
      </c>
      <c r="C165" t="s">
        <v>44</v>
      </c>
    </row>
    <row r="166" spans="1:3" x14ac:dyDescent="0.25">
      <c r="A166">
        <v>50</v>
      </c>
      <c r="B166" t="s">
        <v>26</v>
      </c>
      <c r="C166" t="s">
        <v>46</v>
      </c>
    </row>
    <row r="167" spans="1:3" x14ac:dyDescent="0.25">
      <c r="A167">
        <v>50</v>
      </c>
      <c r="B167" t="s">
        <v>26</v>
      </c>
      <c r="C167" t="s">
        <v>46</v>
      </c>
    </row>
    <row r="168" spans="1:3" x14ac:dyDescent="0.25">
      <c r="A168">
        <v>50</v>
      </c>
      <c r="B168" t="s">
        <v>26</v>
      </c>
      <c r="C168" t="s">
        <v>47</v>
      </c>
    </row>
    <row r="169" spans="1:3" x14ac:dyDescent="0.25">
      <c r="A169">
        <v>50</v>
      </c>
      <c r="B169" t="s">
        <v>26</v>
      </c>
      <c r="C169" t="s">
        <v>47</v>
      </c>
    </row>
    <row r="170" spans="1:3" x14ac:dyDescent="0.25">
      <c r="A170">
        <v>50</v>
      </c>
      <c r="B170" t="s">
        <v>26</v>
      </c>
      <c r="C170" t="s">
        <v>47</v>
      </c>
    </row>
    <row r="171" spans="1:3" x14ac:dyDescent="0.25">
      <c r="A171">
        <v>50</v>
      </c>
      <c r="B171" t="s">
        <v>27</v>
      </c>
      <c r="C171" t="s">
        <v>38</v>
      </c>
    </row>
    <row r="172" spans="1:3" x14ac:dyDescent="0.25">
      <c r="A172">
        <v>50</v>
      </c>
      <c r="B172" t="s">
        <v>28</v>
      </c>
      <c r="C172" t="s">
        <v>38</v>
      </c>
    </row>
    <row r="173" spans="1:3" x14ac:dyDescent="0.25">
      <c r="A173">
        <v>50</v>
      </c>
      <c r="B173" t="s">
        <v>28</v>
      </c>
      <c r="C173" t="s">
        <v>38</v>
      </c>
    </row>
    <row r="174" spans="1:3" x14ac:dyDescent="0.25">
      <c r="A174">
        <v>50</v>
      </c>
      <c r="B174" t="s">
        <v>28</v>
      </c>
      <c r="C174" t="s">
        <v>38</v>
      </c>
    </row>
    <row r="175" spans="1:3" x14ac:dyDescent="0.25">
      <c r="A175">
        <v>50</v>
      </c>
      <c r="B175" t="s">
        <v>28</v>
      </c>
      <c r="C175" t="s">
        <v>43</v>
      </c>
    </row>
    <row r="176" spans="1:3" x14ac:dyDescent="0.25">
      <c r="A176">
        <v>50</v>
      </c>
      <c r="B176" t="s">
        <v>28</v>
      </c>
      <c r="C176" t="s">
        <v>43</v>
      </c>
    </row>
    <row r="177" spans="1:3" x14ac:dyDescent="0.25">
      <c r="A177">
        <v>50</v>
      </c>
      <c r="B177" t="s">
        <v>28</v>
      </c>
      <c r="C177" t="s">
        <v>43</v>
      </c>
    </row>
    <row r="178" spans="1:3" x14ac:dyDescent="0.25">
      <c r="A178">
        <v>50</v>
      </c>
      <c r="B178" t="s">
        <v>28</v>
      </c>
      <c r="C178" t="s">
        <v>43</v>
      </c>
    </row>
    <row r="179" spans="1:3" x14ac:dyDescent="0.25">
      <c r="A179">
        <v>50</v>
      </c>
      <c r="B179" t="s">
        <v>28</v>
      </c>
      <c r="C179" t="s">
        <v>43</v>
      </c>
    </row>
    <row r="180" spans="1:3" x14ac:dyDescent="0.25">
      <c r="A180">
        <v>50</v>
      </c>
      <c r="B180" t="s">
        <v>28</v>
      </c>
      <c r="C180" t="s">
        <v>44</v>
      </c>
    </row>
    <row r="181" spans="1:3" x14ac:dyDescent="0.25">
      <c r="A181">
        <v>50</v>
      </c>
      <c r="B181" t="s">
        <v>28</v>
      </c>
      <c r="C181" t="s">
        <v>46</v>
      </c>
    </row>
    <row r="182" spans="1:3" x14ac:dyDescent="0.25">
      <c r="A182">
        <v>50</v>
      </c>
      <c r="B182" t="s">
        <v>28</v>
      </c>
      <c r="C182" t="s">
        <v>46</v>
      </c>
    </row>
    <row r="183" spans="1:3" x14ac:dyDescent="0.25">
      <c r="A183">
        <v>50</v>
      </c>
      <c r="B183" t="s">
        <v>29</v>
      </c>
      <c r="C183" t="s">
        <v>38</v>
      </c>
    </row>
    <row r="184" spans="1:3" x14ac:dyDescent="0.25">
      <c r="A184">
        <v>50</v>
      </c>
      <c r="B184" t="s">
        <v>29</v>
      </c>
      <c r="C184" t="s">
        <v>38</v>
      </c>
    </row>
    <row r="185" spans="1:3" x14ac:dyDescent="0.25">
      <c r="A185">
        <v>50</v>
      </c>
      <c r="B185" t="s">
        <v>29</v>
      </c>
      <c r="C185" t="s">
        <v>38</v>
      </c>
    </row>
    <row r="186" spans="1:3" x14ac:dyDescent="0.25">
      <c r="A186">
        <v>50</v>
      </c>
      <c r="B186" t="s">
        <v>29</v>
      </c>
      <c r="C186" t="s">
        <v>38</v>
      </c>
    </row>
    <row r="187" spans="1:3" x14ac:dyDescent="0.25">
      <c r="A187">
        <v>50</v>
      </c>
      <c r="B187" t="s">
        <v>29</v>
      </c>
      <c r="C187" t="s">
        <v>43</v>
      </c>
    </row>
    <row r="188" spans="1:3" x14ac:dyDescent="0.25">
      <c r="A188">
        <v>50</v>
      </c>
      <c r="B188" t="s">
        <v>29</v>
      </c>
      <c r="C188" t="s">
        <v>43</v>
      </c>
    </row>
    <row r="189" spans="1:3" x14ac:dyDescent="0.25">
      <c r="A189">
        <v>50</v>
      </c>
      <c r="B189" t="s">
        <v>29</v>
      </c>
      <c r="C189" t="s">
        <v>44</v>
      </c>
    </row>
    <row r="190" spans="1:3" x14ac:dyDescent="0.25">
      <c r="A190">
        <v>50</v>
      </c>
      <c r="B190" t="s">
        <v>29</v>
      </c>
      <c r="C190" t="s">
        <v>44</v>
      </c>
    </row>
    <row r="191" spans="1:3" x14ac:dyDescent="0.25">
      <c r="A191">
        <v>50</v>
      </c>
      <c r="B191" t="s">
        <v>29</v>
      </c>
      <c r="C191" t="s">
        <v>44</v>
      </c>
    </row>
    <row r="192" spans="1:3" x14ac:dyDescent="0.25">
      <c r="A192">
        <v>50</v>
      </c>
      <c r="B192" t="s">
        <v>29</v>
      </c>
      <c r="C192" t="s">
        <v>44</v>
      </c>
    </row>
    <row r="193" spans="1:3" x14ac:dyDescent="0.25">
      <c r="A193">
        <v>50</v>
      </c>
      <c r="B193" t="s">
        <v>29</v>
      </c>
      <c r="C193" t="s">
        <v>46</v>
      </c>
    </row>
    <row r="194" spans="1:3" x14ac:dyDescent="0.25">
      <c r="A194">
        <v>50</v>
      </c>
      <c r="B194" t="s">
        <v>29</v>
      </c>
      <c r="C194" t="s">
        <v>47</v>
      </c>
    </row>
    <row r="195" spans="1:3" x14ac:dyDescent="0.25">
      <c r="A195">
        <v>50</v>
      </c>
      <c r="B195" t="s">
        <v>29</v>
      </c>
      <c r="C195" t="s">
        <v>47</v>
      </c>
    </row>
    <row r="196" spans="1:3" x14ac:dyDescent="0.25">
      <c r="A196">
        <v>50</v>
      </c>
      <c r="B196" t="s">
        <v>30</v>
      </c>
      <c r="C196" t="s">
        <v>33</v>
      </c>
    </row>
    <row r="197" spans="1:3" x14ac:dyDescent="0.25">
      <c r="A197">
        <v>50</v>
      </c>
      <c r="B197" t="s">
        <v>30</v>
      </c>
      <c r="C197" t="s">
        <v>38</v>
      </c>
    </row>
    <row r="198" spans="1:3" x14ac:dyDescent="0.25">
      <c r="A198">
        <v>50</v>
      </c>
      <c r="B198" t="s">
        <v>30</v>
      </c>
      <c r="C198" t="s">
        <v>38</v>
      </c>
    </row>
    <row r="199" spans="1:3" x14ac:dyDescent="0.25">
      <c r="A199">
        <v>50</v>
      </c>
      <c r="B199" t="s">
        <v>30</v>
      </c>
      <c r="C199" t="s">
        <v>43</v>
      </c>
    </row>
    <row r="200" spans="1:3" x14ac:dyDescent="0.25">
      <c r="A200">
        <v>50</v>
      </c>
      <c r="B200" t="s">
        <v>30</v>
      </c>
      <c r="C200" t="s">
        <v>43</v>
      </c>
    </row>
    <row r="201" spans="1:3" x14ac:dyDescent="0.25">
      <c r="A201">
        <v>50</v>
      </c>
      <c r="B201" t="s">
        <v>30</v>
      </c>
      <c r="C201" t="s">
        <v>44</v>
      </c>
    </row>
    <row r="202" spans="1:3" x14ac:dyDescent="0.25">
      <c r="A202">
        <v>50</v>
      </c>
      <c r="B202" t="s">
        <v>30</v>
      </c>
      <c r="C202" t="s">
        <v>44</v>
      </c>
    </row>
    <row r="203" spans="1:3" x14ac:dyDescent="0.25">
      <c r="A203">
        <v>50</v>
      </c>
      <c r="B203" t="s">
        <v>30</v>
      </c>
      <c r="C203" t="s">
        <v>44</v>
      </c>
    </row>
    <row r="204" spans="1:3" x14ac:dyDescent="0.25">
      <c r="A204">
        <v>50</v>
      </c>
      <c r="B204" t="s">
        <v>30</v>
      </c>
      <c r="C204" t="s">
        <v>44</v>
      </c>
    </row>
    <row r="205" spans="1:3" x14ac:dyDescent="0.25">
      <c r="A205">
        <v>50</v>
      </c>
      <c r="B205" t="s">
        <v>30</v>
      </c>
      <c r="C205" t="s">
        <v>44</v>
      </c>
    </row>
    <row r="206" spans="1:3" x14ac:dyDescent="0.25">
      <c r="A206">
        <v>50</v>
      </c>
      <c r="B206" t="s">
        <v>30</v>
      </c>
      <c r="C206" t="s">
        <v>46</v>
      </c>
    </row>
    <row r="207" spans="1:3" x14ac:dyDescent="0.25">
      <c r="A207">
        <v>50</v>
      </c>
      <c r="B207" t="s">
        <v>30</v>
      </c>
      <c r="C207" t="s">
        <v>47</v>
      </c>
    </row>
    <row r="208" spans="1:3" x14ac:dyDescent="0.25">
      <c r="A208">
        <v>50</v>
      </c>
      <c r="B208" t="s">
        <v>30</v>
      </c>
      <c r="C208" t="s">
        <v>47</v>
      </c>
    </row>
    <row r="209" spans="1:3" x14ac:dyDescent="0.25">
      <c r="A209">
        <v>55.03</v>
      </c>
      <c r="B209" t="s">
        <v>29</v>
      </c>
      <c r="C209" t="s">
        <v>41</v>
      </c>
    </row>
    <row r="210" spans="1:3" x14ac:dyDescent="0.25">
      <c r="A210">
        <v>58.01</v>
      </c>
      <c r="B210" t="s">
        <v>26</v>
      </c>
      <c r="C210" t="s">
        <v>45</v>
      </c>
    </row>
    <row r="211" spans="1:3" x14ac:dyDescent="0.25">
      <c r="A211">
        <v>58.92</v>
      </c>
      <c r="B211" t="s">
        <v>24</v>
      </c>
      <c r="C211" t="s">
        <v>46</v>
      </c>
    </row>
    <row r="212" spans="1:3" x14ac:dyDescent="0.25">
      <c r="A212">
        <v>59.09</v>
      </c>
      <c r="B212" t="s">
        <v>29</v>
      </c>
      <c r="C212" t="s">
        <v>33</v>
      </c>
    </row>
    <row r="213" spans="1:3" x14ac:dyDescent="0.25">
      <c r="A213">
        <v>60</v>
      </c>
      <c r="B213" t="s">
        <v>24</v>
      </c>
      <c r="C213" t="s">
        <v>44</v>
      </c>
    </row>
    <row r="214" spans="1:3" x14ac:dyDescent="0.25">
      <c r="A214">
        <v>60</v>
      </c>
      <c r="B214" t="s">
        <v>24</v>
      </c>
      <c r="C214" t="s">
        <v>45</v>
      </c>
    </row>
    <row r="215" spans="1:3" x14ac:dyDescent="0.25">
      <c r="A215">
        <v>60</v>
      </c>
      <c r="B215" t="s">
        <v>24</v>
      </c>
      <c r="C215" t="s">
        <v>46</v>
      </c>
    </row>
    <row r="216" spans="1:3" x14ac:dyDescent="0.25">
      <c r="A216">
        <v>60</v>
      </c>
      <c r="B216" t="s">
        <v>25</v>
      </c>
      <c r="C216" t="s">
        <v>38</v>
      </c>
    </row>
    <row r="217" spans="1:3" x14ac:dyDescent="0.25">
      <c r="A217">
        <v>60</v>
      </c>
      <c r="B217" t="s">
        <v>25</v>
      </c>
      <c r="C217" t="s">
        <v>43</v>
      </c>
    </row>
    <row r="218" spans="1:3" x14ac:dyDescent="0.25">
      <c r="A218">
        <v>60</v>
      </c>
      <c r="B218" t="s">
        <v>25</v>
      </c>
      <c r="C218" t="s">
        <v>44</v>
      </c>
    </row>
    <row r="219" spans="1:3" x14ac:dyDescent="0.25">
      <c r="A219">
        <v>60</v>
      </c>
      <c r="B219" t="s">
        <v>25</v>
      </c>
      <c r="C219" t="s">
        <v>46</v>
      </c>
    </row>
    <row r="220" spans="1:3" x14ac:dyDescent="0.25">
      <c r="A220">
        <v>60</v>
      </c>
      <c r="B220" t="s">
        <v>26</v>
      </c>
      <c r="C220" t="s">
        <v>38</v>
      </c>
    </row>
    <row r="221" spans="1:3" x14ac:dyDescent="0.25">
      <c r="A221">
        <v>60</v>
      </c>
      <c r="B221" t="s">
        <v>26</v>
      </c>
      <c r="C221" t="s">
        <v>43</v>
      </c>
    </row>
    <row r="222" spans="1:3" x14ac:dyDescent="0.25">
      <c r="A222">
        <v>60</v>
      </c>
      <c r="B222" t="s">
        <v>29</v>
      </c>
      <c r="C222" t="s">
        <v>44</v>
      </c>
    </row>
    <row r="223" spans="1:3" x14ac:dyDescent="0.25">
      <c r="A223">
        <v>60</v>
      </c>
      <c r="B223" t="s">
        <v>30</v>
      </c>
      <c r="C223" t="s">
        <v>46</v>
      </c>
    </row>
    <row r="224" spans="1:3" x14ac:dyDescent="0.25">
      <c r="A224">
        <v>60</v>
      </c>
      <c r="B224" t="s">
        <v>30</v>
      </c>
      <c r="C224" t="s">
        <v>47</v>
      </c>
    </row>
    <row r="225" spans="1:3" x14ac:dyDescent="0.25">
      <c r="A225">
        <v>61.84</v>
      </c>
      <c r="B225" t="s">
        <v>30</v>
      </c>
      <c r="C225" t="s">
        <v>38</v>
      </c>
    </row>
    <row r="226" spans="1:3" x14ac:dyDescent="0.25">
      <c r="A226">
        <v>63.92</v>
      </c>
      <c r="B226" t="s">
        <v>24</v>
      </c>
      <c r="C226" t="s">
        <v>37</v>
      </c>
    </row>
    <row r="227" spans="1:3" x14ac:dyDescent="0.25">
      <c r="A227">
        <v>65</v>
      </c>
      <c r="B227" t="s">
        <v>24</v>
      </c>
      <c r="C227" t="s">
        <v>47</v>
      </c>
    </row>
    <row r="228" spans="1:3" x14ac:dyDescent="0.25">
      <c r="A228">
        <v>65.900000000000006</v>
      </c>
      <c r="B228" t="s">
        <v>24</v>
      </c>
      <c r="C228" t="s">
        <v>38</v>
      </c>
    </row>
    <row r="229" spans="1:3" x14ac:dyDescent="0.25">
      <c r="A229">
        <v>65.900000000000006</v>
      </c>
      <c r="B229" t="s">
        <v>24</v>
      </c>
      <c r="C229" t="s">
        <v>44</v>
      </c>
    </row>
    <row r="230" spans="1:3" x14ac:dyDescent="0.25">
      <c r="A230">
        <v>65.900000000000006</v>
      </c>
      <c r="B230" t="s">
        <v>24</v>
      </c>
      <c r="C230" t="s">
        <v>45</v>
      </c>
    </row>
    <row r="231" spans="1:3" x14ac:dyDescent="0.25">
      <c r="A231">
        <v>65.900000000000006</v>
      </c>
      <c r="B231" t="s">
        <v>24</v>
      </c>
      <c r="C231" t="s">
        <v>46</v>
      </c>
    </row>
    <row r="232" spans="1:3" x14ac:dyDescent="0.25">
      <c r="A232">
        <v>65.900000000000006</v>
      </c>
      <c r="B232" t="s">
        <v>25</v>
      </c>
      <c r="C232" t="s">
        <v>46</v>
      </c>
    </row>
    <row r="233" spans="1:3" x14ac:dyDescent="0.25">
      <c r="A233">
        <v>65.900000000000006</v>
      </c>
      <c r="B233" t="s">
        <v>26</v>
      </c>
      <c r="C233" t="s">
        <v>43</v>
      </c>
    </row>
    <row r="234" spans="1:3" x14ac:dyDescent="0.25">
      <c r="A234">
        <v>65.900000000000006</v>
      </c>
      <c r="B234" t="s">
        <v>26</v>
      </c>
      <c r="C234" t="s">
        <v>44</v>
      </c>
    </row>
    <row r="235" spans="1:3" x14ac:dyDescent="0.25">
      <c r="A235">
        <v>65.900000000000006</v>
      </c>
      <c r="B235" t="s">
        <v>26</v>
      </c>
      <c r="C235" t="s">
        <v>44</v>
      </c>
    </row>
    <row r="236" spans="1:3" x14ac:dyDescent="0.25">
      <c r="A236">
        <v>65.900000000000006</v>
      </c>
      <c r="B236" t="s">
        <v>26</v>
      </c>
      <c r="C236" t="s">
        <v>44</v>
      </c>
    </row>
    <row r="237" spans="1:3" x14ac:dyDescent="0.25">
      <c r="A237">
        <v>65.900000000000006</v>
      </c>
      <c r="B237" t="s">
        <v>27</v>
      </c>
      <c r="C237" t="s">
        <v>37</v>
      </c>
    </row>
    <row r="238" spans="1:3" x14ac:dyDescent="0.25">
      <c r="A238">
        <v>65.900000000000006</v>
      </c>
      <c r="B238" t="s">
        <v>29</v>
      </c>
      <c r="C238" t="s">
        <v>44</v>
      </c>
    </row>
    <row r="239" spans="1:3" x14ac:dyDescent="0.25">
      <c r="A239">
        <v>65.900000000000006</v>
      </c>
      <c r="B239" t="s">
        <v>29</v>
      </c>
      <c r="C239" t="s">
        <v>46</v>
      </c>
    </row>
    <row r="240" spans="1:3" x14ac:dyDescent="0.25">
      <c r="A240">
        <v>65.900000000000006</v>
      </c>
      <c r="B240" t="s">
        <v>30</v>
      </c>
      <c r="C240" t="s">
        <v>38</v>
      </c>
    </row>
    <row r="241" spans="1:3" x14ac:dyDescent="0.25">
      <c r="A241">
        <v>69.040000000000006</v>
      </c>
      <c r="B241" t="s">
        <v>30</v>
      </c>
      <c r="C241" t="s">
        <v>47</v>
      </c>
    </row>
    <row r="242" spans="1:3" x14ac:dyDescent="0.25">
      <c r="A242">
        <v>70</v>
      </c>
      <c r="B242" t="s">
        <v>28</v>
      </c>
      <c r="C242" t="s">
        <v>41</v>
      </c>
    </row>
    <row r="243" spans="1:3" x14ac:dyDescent="0.25">
      <c r="A243">
        <v>70</v>
      </c>
      <c r="B243" t="s">
        <v>30</v>
      </c>
      <c r="C243" t="s">
        <v>38</v>
      </c>
    </row>
    <row r="244" spans="1:3" x14ac:dyDescent="0.25">
      <c r="A244">
        <v>70</v>
      </c>
      <c r="B244" t="s">
        <v>30</v>
      </c>
      <c r="C244" t="s">
        <v>43</v>
      </c>
    </row>
    <row r="245" spans="1:3" x14ac:dyDescent="0.25">
      <c r="A245">
        <v>70</v>
      </c>
      <c r="B245" t="s">
        <v>30</v>
      </c>
      <c r="C245" t="s">
        <v>46</v>
      </c>
    </row>
    <row r="246" spans="1:3" x14ac:dyDescent="0.25">
      <c r="A246">
        <v>70</v>
      </c>
      <c r="B246" t="s">
        <v>30</v>
      </c>
      <c r="C246" t="s">
        <v>46</v>
      </c>
    </row>
    <row r="247" spans="1:3" x14ac:dyDescent="0.25">
      <c r="A247">
        <v>70.8</v>
      </c>
      <c r="B247" t="s">
        <v>28</v>
      </c>
      <c r="C247" t="s">
        <v>37</v>
      </c>
    </row>
    <row r="248" spans="1:3" x14ac:dyDescent="0.25">
      <c r="A248">
        <v>72.290000000000006</v>
      </c>
      <c r="B248" t="s">
        <v>26</v>
      </c>
      <c r="C248" t="s">
        <v>43</v>
      </c>
    </row>
    <row r="249" spans="1:3" x14ac:dyDescent="0.25">
      <c r="A249">
        <v>74.34</v>
      </c>
      <c r="B249" t="s">
        <v>24</v>
      </c>
      <c r="C249" t="s">
        <v>46</v>
      </c>
    </row>
    <row r="250" spans="1:3" x14ac:dyDescent="0.25">
      <c r="A250">
        <v>75</v>
      </c>
      <c r="B250" t="s">
        <v>24</v>
      </c>
      <c r="C250" t="s">
        <v>38</v>
      </c>
    </row>
    <row r="251" spans="1:3" x14ac:dyDescent="0.25">
      <c r="A251">
        <v>75.959999999999994</v>
      </c>
      <c r="B251" t="s">
        <v>28</v>
      </c>
      <c r="C251" t="s">
        <v>46</v>
      </c>
    </row>
    <row r="252" spans="1:3" x14ac:dyDescent="0.25">
      <c r="A252">
        <v>76.680000000000007</v>
      </c>
      <c r="B252" t="s">
        <v>28</v>
      </c>
      <c r="C252" t="s">
        <v>45</v>
      </c>
    </row>
    <row r="253" spans="1:3" x14ac:dyDescent="0.25">
      <c r="A253">
        <v>79.27</v>
      </c>
      <c r="B253" t="s">
        <v>25</v>
      </c>
      <c r="C253" t="s">
        <v>47</v>
      </c>
    </row>
    <row r="254" spans="1:3" x14ac:dyDescent="0.25">
      <c r="A254">
        <v>80</v>
      </c>
      <c r="B254" t="s">
        <v>25</v>
      </c>
      <c r="C254" t="s">
        <v>41</v>
      </c>
    </row>
    <row r="255" spans="1:3" x14ac:dyDescent="0.25">
      <c r="A255">
        <v>80</v>
      </c>
      <c r="B255" t="s">
        <v>27</v>
      </c>
      <c r="C255" t="s">
        <v>44</v>
      </c>
    </row>
    <row r="256" spans="1:3" x14ac:dyDescent="0.25">
      <c r="A256">
        <v>80</v>
      </c>
      <c r="B256" t="s">
        <v>30</v>
      </c>
      <c r="C256" t="s">
        <v>44</v>
      </c>
    </row>
    <row r="257" spans="1:3" x14ac:dyDescent="0.25">
      <c r="A257">
        <v>85.17</v>
      </c>
      <c r="B257" t="s">
        <v>27</v>
      </c>
      <c r="C257" t="s">
        <v>36</v>
      </c>
    </row>
    <row r="258" spans="1:3" x14ac:dyDescent="0.25">
      <c r="A258">
        <v>90.47</v>
      </c>
      <c r="B258" t="s">
        <v>30</v>
      </c>
      <c r="C258" t="s">
        <v>38</v>
      </c>
    </row>
    <row r="259" spans="1:3" x14ac:dyDescent="0.25">
      <c r="A259">
        <v>92.26</v>
      </c>
      <c r="B259" t="s">
        <v>24</v>
      </c>
      <c r="C259" t="s">
        <v>35</v>
      </c>
    </row>
    <row r="260" spans="1:3" x14ac:dyDescent="0.25">
      <c r="A260">
        <v>97.65</v>
      </c>
      <c r="B260" t="s">
        <v>24</v>
      </c>
      <c r="C260" t="s">
        <v>47</v>
      </c>
    </row>
    <row r="261" spans="1:3" x14ac:dyDescent="0.25">
      <c r="A261">
        <v>98</v>
      </c>
      <c r="B261" t="s">
        <v>30</v>
      </c>
      <c r="C261" t="s">
        <v>37</v>
      </c>
    </row>
    <row r="262" spans="1:3" x14ac:dyDescent="0.25">
      <c r="A262">
        <v>98.26</v>
      </c>
      <c r="B262" t="s">
        <v>27</v>
      </c>
      <c r="C262" t="s">
        <v>34</v>
      </c>
    </row>
    <row r="263" spans="1:3" x14ac:dyDescent="0.25">
      <c r="A263">
        <v>98.48</v>
      </c>
      <c r="B263" t="s">
        <v>28</v>
      </c>
      <c r="C263" t="s">
        <v>38</v>
      </c>
    </row>
    <row r="264" spans="1:3" x14ac:dyDescent="0.25">
      <c r="A264">
        <v>98.85</v>
      </c>
      <c r="B264" t="s">
        <v>27</v>
      </c>
      <c r="C264" t="s">
        <v>46</v>
      </c>
    </row>
    <row r="265" spans="1:3" x14ac:dyDescent="0.25">
      <c r="A265">
        <v>99</v>
      </c>
      <c r="B265" t="s">
        <v>30</v>
      </c>
      <c r="C265" t="s">
        <v>37</v>
      </c>
    </row>
    <row r="266" spans="1:3" x14ac:dyDescent="0.25">
      <c r="A266">
        <v>99.24</v>
      </c>
      <c r="B266" t="s">
        <v>28</v>
      </c>
      <c r="C266" t="s">
        <v>44</v>
      </c>
    </row>
    <row r="267" spans="1:3" x14ac:dyDescent="0.25">
      <c r="A267">
        <v>99.24</v>
      </c>
      <c r="B267" t="s">
        <v>28</v>
      </c>
      <c r="C267" t="s">
        <v>46</v>
      </c>
    </row>
    <row r="268" spans="1:3" x14ac:dyDescent="0.25">
      <c r="A268">
        <v>99.24</v>
      </c>
      <c r="B268" t="s">
        <v>30</v>
      </c>
      <c r="C268" t="s">
        <v>46</v>
      </c>
    </row>
    <row r="269" spans="1:3" x14ac:dyDescent="0.25">
      <c r="A269">
        <v>100</v>
      </c>
      <c r="B269" t="s">
        <v>24</v>
      </c>
      <c r="C269" t="s">
        <v>40</v>
      </c>
    </row>
    <row r="270" spans="1:3" x14ac:dyDescent="0.25">
      <c r="A270">
        <v>100</v>
      </c>
      <c r="B270" t="s">
        <v>24</v>
      </c>
      <c r="C270" t="s">
        <v>41</v>
      </c>
    </row>
    <row r="271" spans="1:3" x14ac:dyDescent="0.25">
      <c r="A271">
        <v>100</v>
      </c>
      <c r="B271" t="s">
        <v>24</v>
      </c>
      <c r="C271" t="s">
        <v>43</v>
      </c>
    </row>
    <row r="272" spans="1:3" x14ac:dyDescent="0.25">
      <c r="A272">
        <v>100</v>
      </c>
      <c r="B272" t="s">
        <v>24</v>
      </c>
      <c r="C272" t="s">
        <v>43</v>
      </c>
    </row>
    <row r="273" spans="1:3" x14ac:dyDescent="0.25">
      <c r="A273">
        <v>100</v>
      </c>
      <c r="B273" t="s">
        <v>24</v>
      </c>
      <c r="C273" t="s">
        <v>44</v>
      </c>
    </row>
    <row r="274" spans="1:3" x14ac:dyDescent="0.25">
      <c r="A274">
        <v>100</v>
      </c>
      <c r="B274" t="s">
        <v>24</v>
      </c>
      <c r="C274" t="s">
        <v>44</v>
      </c>
    </row>
    <row r="275" spans="1:3" x14ac:dyDescent="0.25">
      <c r="A275">
        <v>100</v>
      </c>
      <c r="B275" t="s">
        <v>24</v>
      </c>
      <c r="C275" t="s">
        <v>44</v>
      </c>
    </row>
    <row r="276" spans="1:3" x14ac:dyDescent="0.25">
      <c r="A276">
        <v>100</v>
      </c>
      <c r="B276" t="s">
        <v>24</v>
      </c>
      <c r="C276" t="s">
        <v>44</v>
      </c>
    </row>
    <row r="277" spans="1:3" x14ac:dyDescent="0.25">
      <c r="A277">
        <v>100</v>
      </c>
      <c r="B277" t="s">
        <v>24</v>
      </c>
      <c r="C277" t="s">
        <v>46</v>
      </c>
    </row>
    <row r="278" spans="1:3" x14ac:dyDescent="0.25">
      <c r="A278">
        <v>100</v>
      </c>
      <c r="B278" t="s">
        <v>24</v>
      </c>
      <c r="C278" t="s">
        <v>46</v>
      </c>
    </row>
    <row r="279" spans="1:3" x14ac:dyDescent="0.25">
      <c r="A279">
        <v>100</v>
      </c>
      <c r="B279" t="s">
        <v>24</v>
      </c>
      <c r="C279" t="s">
        <v>47</v>
      </c>
    </row>
    <row r="280" spans="1:3" x14ac:dyDescent="0.25">
      <c r="A280">
        <v>100</v>
      </c>
      <c r="B280" t="s">
        <v>24</v>
      </c>
      <c r="C280" t="s">
        <v>47</v>
      </c>
    </row>
    <row r="281" spans="1:3" x14ac:dyDescent="0.25">
      <c r="A281">
        <v>100</v>
      </c>
      <c r="B281" t="s">
        <v>25</v>
      </c>
      <c r="C281" t="s">
        <v>38</v>
      </c>
    </row>
    <row r="282" spans="1:3" x14ac:dyDescent="0.25">
      <c r="A282">
        <v>100</v>
      </c>
      <c r="B282" t="s">
        <v>25</v>
      </c>
      <c r="C282" t="s">
        <v>39</v>
      </c>
    </row>
    <row r="283" spans="1:3" x14ac:dyDescent="0.25">
      <c r="A283">
        <v>100</v>
      </c>
      <c r="B283" t="s">
        <v>25</v>
      </c>
      <c r="C283" t="s">
        <v>41</v>
      </c>
    </row>
    <row r="284" spans="1:3" x14ac:dyDescent="0.25">
      <c r="A284">
        <v>100</v>
      </c>
      <c r="B284" t="s">
        <v>25</v>
      </c>
      <c r="C284" t="s">
        <v>43</v>
      </c>
    </row>
    <row r="285" spans="1:3" x14ac:dyDescent="0.25">
      <c r="A285">
        <v>100</v>
      </c>
      <c r="B285" t="s">
        <v>25</v>
      </c>
      <c r="C285" t="s">
        <v>43</v>
      </c>
    </row>
    <row r="286" spans="1:3" x14ac:dyDescent="0.25">
      <c r="A286">
        <v>100</v>
      </c>
      <c r="B286" t="s">
        <v>25</v>
      </c>
      <c r="C286" t="s">
        <v>43</v>
      </c>
    </row>
    <row r="287" spans="1:3" x14ac:dyDescent="0.25">
      <c r="A287">
        <v>100</v>
      </c>
      <c r="B287" t="s">
        <v>25</v>
      </c>
      <c r="C287" t="s">
        <v>44</v>
      </c>
    </row>
    <row r="288" spans="1:3" x14ac:dyDescent="0.25">
      <c r="A288">
        <v>100</v>
      </c>
      <c r="B288" t="s">
        <v>25</v>
      </c>
      <c r="C288" t="s">
        <v>44</v>
      </c>
    </row>
    <row r="289" spans="1:3" x14ac:dyDescent="0.25">
      <c r="A289">
        <v>100</v>
      </c>
      <c r="B289" t="s">
        <v>25</v>
      </c>
      <c r="C289" t="s">
        <v>44</v>
      </c>
    </row>
    <row r="290" spans="1:3" x14ac:dyDescent="0.25">
      <c r="A290">
        <v>100</v>
      </c>
      <c r="B290" t="s">
        <v>25</v>
      </c>
      <c r="C290" t="s">
        <v>46</v>
      </c>
    </row>
    <row r="291" spans="1:3" x14ac:dyDescent="0.25">
      <c r="A291">
        <v>100</v>
      </c>
      <c r="B291" t="s">
        <v>25</v>
      </c>
      <c r="C291" t="s">
        <v>46</v>
      </c>
    </row>
    <row r="292" spans="1:3" x14ac:dyDescent="0.25">
      <c r="A292">
        <v>100</v>
      </c>
      <c r="B292" t="s">
        <v>25</v>
      </c>
      <c r="C292" t="s">
        <v>47</v>
      </c>
    </row>
    <row r="293" spans="1:3" x14ac:dyDescent="0.25">
      <c r="A293">
        <v>100</v>
      </c>
      <c r="B293" t="s">
        <v>26</v>
      </c>
      <c r="C293" t="s">
        <v>37</v>
      </c>
    </row>
    <row r="294" spans="1:3" x14ac:dyDescent="0.25">
      <c r="A294">
        <v>100</v>
      </c>
      <c r="B294" t="s">
        <v>26</v>
      </c>
      <c r="C294" t="s">
        <v>38</v>
      </c>
    </row>
    <row r="295" spans="1:3" x14ac:dyDescent="0.25">
      <c r="A295">
        <v>100</v>
      </c>
      <c r="B295" t="s">
        <v>26</v>
      </c>
      <c r="C295" t="s">
        <v>44</v>
      </c>
    </row>
    <row r="296" spans="1:3" x14ac:dyDescent="0.25">
      <c r="A296">
        <v>100</v>
      </c>
      <c r="B296" t="s">
        <v>26</v>
      </c>
      <c r="C296" t="s">
        <v>44</v>
      </c>
    </row>
    <row r="297" spans="1:3" x14ac:dyDescent="0.25">
      <c r="A297">
        <v>100</v>
      </c>
      <c r="B297" t="s">
        <v>26</v>
      </c>
      <c r="C297" t="s">
        <v>44</v>
      </c>
    </row>
    <row r="298" spans="1:3" x14ac:dyDescent="0.25">
      <c r="A298">
        <v>100</v>
      </c>
      <c r="B298" t="s">
        <v>26</v>
      </c>
      <c r="C298" t="s">
        <v>44</v>
      </c>
    </row>
    <row r="299" spans="1:3" x14ac:dyDescent="0.25">
      <c r="A299">
        <v>100</v>
      </c>
      <c r="B299" t="s">
        <v>26</v>
      </c>
      <c r="C299" t="s">
        <v>44</v>
      </c>
    </row>
    <row r="300" spans="1:3" x14ac:dyDescent="0.25">
      <c r="A300">
        <v>100</v>
      </c>
      <c r="B300" t="s">
        <v>26</v>
      </c>
      <c r="C300" t="s">
        <v>46</v>
      </c>
    </row>
    <row r="301" spans="1:3" x14ac:dyDescent="0.25">
      <c r="A301">
        <v>100</v>
      </c>
      <c r="B301" t="s">
        <v>26</v>
      </c>
      <c r="C301" t="s">
        <v>47</v>
      </c>
    </row>
    <row r="302" spans="1:3" x14ac:dyDescent="0.25">
      <c r="A302">
        <v>100</v>
      </c>
      <c r="B302" t="s">
        <v>27</v>
      </c>
      <c r="C302" t="s">
        <v>38</v>
      </c>
    </row>
    <row r="303" spans="1:3" x14ac:dyDescent="0.25">
      <c r="A303">
        <v>100</v>
      </c>
      <c r="B303" t="s">
        <v>27</v>
      </c>
      <c r="C303" t="s">
        <v>43</v>
      </c>
    </row>
    <row r="304" spans="1:3" x14ac:dyDescent="0.25">
      <c r="A304">
        <v>100</v>
      </c>
      <c r="B304" t="s">
        <v>27</v>
      </c>
      <c r="C304" t="s">
        <v>43</v>
      </c>
    </row>
    <row r="305" spans="1:3" x14ac:dyDescent="0.25">
      <c r="A305">
        <v>100</v>
      </c>
      <c r="B305" t="s">
        <v>27</v>
      </c>
      <c r="C305" t="s">
        <v>43</v>
      </c>
    </row>
    <row r="306" spans="1:3" x14ac:dyDescent="0.25">
      <c r="A306">
        <v>100</v>
      </c>
      <c r="B306" t="s">
        <v>27</v>
      </c>
      <c r="C306" t="s">
        <v>44</v>
      </c>
    </row>
    <row r="307" spans="1:3" x14ac:dyDescent="0.25">
      <c r="A307">
        <v>100</v>
      </c>
      <c r="B307" t="s">
        <v>27</v>
      </c>
      <c r="C307" t="s">
        <v>46</v>
      </c>
    </row>
    <row r="308" spans="1:3" x14ac:dyDescent="0.25">
      <c r="A308">
        <v>100</v>
      </c>
      <c r="B308" t="s">
        <v>27</v>
      </c>
      <c r="C308" t="s">
        <v>46</v>
      </c>
    </row>
    <row r="309" spans="1:3" x14ac:dyDescent="0.25">
      <c r="A309">
        <v>100</v>
      </c>
      <c r="B309" t="s">
        <v>27</v>
      </c>
      <c r="C309" t="s">
        <v>47</v>
      </c>
    </row>
    <row r="310" spans="1:3" x14ac:dyDescent="0.25">
      <c r="A310">
        <v>100</v>
      </c>
      <c r="B310" t="s">
        <v>28</v>
      </c>
      <c r="C310" t="s">
        <v>44</v>
      </c>
    </row>
    <row r="311" spans="1:3" x14ac:dyDescent="0.25">
      <c r="A311">
        <v>100</v>
      </c>
      <c r="B311" t="s">
        <v>28</v>
      </c>
      <c r="C311" t="s">
        <v>44</v>
      </c>
    </row>
    <row r="312" spans="1:3" x14ac:dyDescent="0.25">
      <c r="A312">
        <v>100</v>
      </c>
      <c r="B312" t="s">
        <v>28</v>
      </c>
      <c r="C312" t="s">
        <v>44</v>
      </c>
    </row>
    <row r="313" spans="1:3" x14ac:dyDescent="0.25">
      <c r="A313">
        <v>100</v>
      </c>
      <c r="B313" t="s">
        <v>28</v>
      </c>
      <c r="C313" t="s">
        <v>46</v>
      </c>
    </row>
    <row r="314" spans="1:3" x14ac:dyDescent="0.25">
      <c r="A314">
        <v>100</v>
      </c>
      <c r="B314" t="s">
        <v>28</v>
      </c>
      <c r="C314" t="s">
        <v>46</v>
      </c>
    </row>
    <row r="315" spans="1:3" x14ac:dyDescent="0.25">
      <c r="A315">
        <v>100</v>
      </c>
      <c r="B315" t="s">
        <v>29</v>
      </c>
      <c r="C315" t="s">
        <v>38</v>
      </c>
    </row>
    <row r="316" spans="1:3" x14ac:dyDescent="0.25">
      <c r="A316">
        <v>100</v>
      </c>
      <c r="B316" t="s">
        <v>29</v>
      </c>
      <c r="C316" t="s">
        <v>41</v>
      </c>
    </row>
    <row r="317" spans="1:3" x14ac:dyDescent="0.25">
      <c r="A317">
        <v>100</v>
      </c>
      <c r="B317" t="s">
        <v>29</v>
      </c>
      <c r="C317" t="s">
        <v>43</v>
      </c>
    </row>
    <row r="318" spans="1:3" x14ac:dyDescent="0.25">
      <c r="A318">
        <v>100</v>
      </c>
      <c r="B318" t="s">
        <v>29</v>
      </c>
      <c r="C318" t="s">
        <v>44</v>
      </c>
    </row>
    <row r="319" spans="1:3" x14ac:dyDescent="0.25">
      <c r="A319">
        <v>100</v>
      </c>
      <c r="B319" t="s">
        <v>29</v>
      </c>
      <c r="C319" t="s">
        <v>44</v>
      </c>
    </row>
    <row r="320" spans="1:3" x14ac:dyDescent="0.25">
      <c r="A320">
        <v>100</v>
      </c>
      <c r="B320" t="s">
        <v>29</v>
      </c>
      <c r="C320" t="s">
        <v>46</v>
      </c>
    </row>
    <row r="321" spans="1:3" x14ac:dyDescent="0.25">
      <c r="A321">
        <v>100</v>
      </c>
      <c r="B321" t="s">
        <v>29</v>
      </c>
      <c r="C321" t="s">
        <v>46</v>
      </c>
    </row>
    <row r="322" spans="1:3" x14ac:dyDescent="0.25">
      <c r="A322">
        <v>100</v>
      </c>
      <c r="B322" t="s">
        <v>29</v>
      </c>
      <c r="C322" t="s">
        <v>47</v>
      </c>
    </row>
    <row r="323" spans="1:3" x14ac:dyDescent="0.25">
      <c r="A323">
        <v>100</v>
      </c>
      <c r="B323" t="s">
        <v>29</v>
      </c>
      <c r="C323" t="s">
        <v>47</v>
      </c>
    </row>
    <row r="324" spans="1:3" x14ac:dyDescent="0.25">
      <c r="A324">
        <v>100</v>
      </c>
      <c r="B324" t="s">
        <v>30</v>
      </c>
      <c r="C324" t="s">
        <v>38</v>
      </c>
    </row>
    <row r="325" spans="1:3" x14ac:dyDescent="0.25">
      <c r="A325">
        <v>100</v>
      </c>
      <c r="B325" t="s">
        <v>30</v>
      </c>
      <c r="C325" t="s">
        <v>38</v>
      </c>
    </row>
    <row r="326" spans="1:3" x14ac:dyDescent="0.25">
      <c r="A326">
        <v>100</v>
      </c>
      <c r="B326" t="s">
        <v>30</v>
      </c>
      <c r="C326" t="s">
        <v>38</v>
      </c>
    </row>
    <row r="327" spans="1:3" x14ac:dyDescent="0.25">
      <c r="A327">
        <v>100</v>
      </c>
      <c r="B327" t="s">
        <v>30</v>
      </c>
      <c r="C327" t="s">
        <v>38</v>
      </c>
    </row>
    <row r="328" spans="1:3" x14ac:dyDescent="0.25">
      <c r="A328">
        <v>100</v>
      </c>
      <c r="B328" t="s">
        <v>30</v>
      </c>
      <c r="C328" t="s">
        <v>38</v>
      </c>
    </row>
    <row r="329" spans="1:3" x14ac:dyDescent="0.25">
      <c r="A329">
        <v>100</v>
      </c>
      <c r="B329" t="s">
        <v>30</v>
      </c>
      <c r="C329" t="s">
        <v>38</v>
      </c>
    </row>
    <row r="330" spans="1:3" x14ac:dyDescent="0.25">
      <c r="A330">
        <v>100</v>
      </c>
      <c r="B330" t="s">
        <v>30</v>
      </c>
      <c r="C330" t="s">
        <v>40</v>
      </c>
    </row>
    <row r="331" spans="1:3" x14ac:dyDescent="0.25">
      <c r="A331">
        <v>100</v>
      </c>
      <c r="B331" t="s">
        <v>30</v>
      </c>
      <c r="C331" t="s">
        <v>40</v>
      </c>
    </row>
    <row r="332" spans="1:3" x14ac:dyDescent="0.25">
      <c r="A332">
        <v>100</v>
      </c>
      <c r="B332" t="s">
        <v>30</v>
      </c>
      <c r="C332" t="s">
        <v>43</v>
      </c>
    </row>
    <row r="333" spans="1:3" x14ac:dyDescent="0.25">
      <c r="A333">
        <v>100</v>
      </c>
      <c r="B333" t="s">
        <v>30</v>
      </c>
      <c r="C333" t="s">
        <v>44</v>
      </c>
    </row>
    <row r="334" spans="1:3" x14ac:dyDescent="0.25">
      <c r="A334">
        <v>100</v>
      </c>
      <c r="B334" t="s">
        <v>30</v>
      </c>
      <c r="C334" t="s">
        <v>44</v>
      </c>
    </row>
    <row r="335" spans="1:3" x14ac:dyDescent="0.25">
      <c r="A335">
        <v>100</v>
      </c>
      <c r="B335" t="s">
        <v>30</v>
      </c>
      <c r="C335" t="s">
        <v>44</v>
      </c>
    </row>
    <row r="336" spans="1:3" x14ac:dyDescent="0.25">
      <c r="A336">
        <v>100</v>
      </c>
      <c r="B336" t="s">
        <v>30</v>
      </c>
      <c r="C336" t="s">
        <v>44</v>
      </c>
    </row>
    <row r="337" spans="1:3" x14ac:dyDescent="0.25">
      <c r="A337">
        <v>100</v>
      </c>
      <c r="B337" t="s">
        <v>30</v>
      </c>
      <c r="C337" t="s">
        <v>44</v>
      </c>
    </row>
    <row r="338" spans="1:3" x14ac:dyDescent="0.25">
      <c r="A338">
        <v>100</v>
      </c>
      <c r="B338" t="s">
        <v>30</v>
      </c>
      <c r="C338" t="s">
        <v>44</v>
      </c>
    </row>
    <row r="339" spans="1:3" x14ac:dyDescent="0.25">
      <c r="A339">
        <v>100</v>
      </c>
      <c r="B339" t="s">
        <v>30</v>
      </c>
      <c r="C339" t="s">
        <v>44</v>
      </c>
    </row>
    <row r="340" spans="1:3" x14ac:dyDescent="0.25">
      <c r="A340">
        <v>100</v>
      </c>
      <c r="B340" t="s">
        <v>30</v>
      </c>
      <c r="C340" t="s">
        <v>46</v>
      </c>
    </row>
    <row r="341" spans="1:3" x14ac:dyDescent="0.25">
      <c r="A341">
        <v>100</v>
      </c>
      <c r="B341" t="s">
        <v>30</v>
      </c>
      <c r="C341" t="s">
        <v>46</v>
      </c>
    </row>
    <row r="342" spans="1:3" x14ac:dyDescent="0.25">
      <c r="A342">
        <v>100</v>
      </c>
      <c r="B342" t="s">
        <v>30</v>
      </c>
      <c r="C342" t="s">
        <v>46</v>
      </c>
    </row>
    <row r="343" spans="1:3" x14ac:dyDescent="0.25">
      <c r="A343">
        <v>100</v>
      </c>
      <c r="B343" t="s">
        <v>30</v>
      </c>
      <c r="C343" t="s">
        <v>47</v>
      </c>
    </row>
    <row r="344" spans="1:3" x14ac:dyDescent="0.25">
      <c r="A344">
        <v>100</v>
      </c>
      <c r="B344" t="s">
        <v>30</v>
      </c>
      <c r="C344" t="s">
        <v>47</v>
      </c>
    </row>
    <row r="345" spans="1:3" x14ac:dyDescent="0.25">
      <c r="A345">
        <v>100</v>
      </c>
      <c r="B345" t="s">
        <v>30</v>
      </c>
      <c r="C345" t="s">
        <v>47</v>
      </c>
    </row>
    <row r="346" spans="1:3" x14ac:dyDescent="0.25">
      <c r="A346">
        <v>101.26</v>
      </c>
      <c r="B346" t="s">
        <v>25</v>
      </c>
      <c r="C346" t="s">
        <v>36</v>
      </c>
    </row>
    <row r="347" spans="1:3" x14ac:dyDescent="0.25">
      <c r="A347">
        <v>103.07</v>
      </c>
      <c r="B347" t="s">
        <v>24</v>
      </c>
      <c r="C347" t="s">
        <v>37</v>
      </c>
    </row>
    <row r="348" spans="1:3" x14ac:dyDescent="0.25">
      <c r="A348">
        <v>105</v>
      </c>
      <c r="B348" t="s">
        <v>30</v>
      </c>
      <c r="C348" t="s">
        <v>37</v>
      </c>
    </row>
    <row r="349" spans="1:3" x14ac:dyDescent="0.25">
      <c r="A349">
        <v>108.25</v>
      </c>
      <c r="B349" t="s">
        <v>27</v>
      </c>
      <c r="C349" t="s">
        <v>45</v>
      </c>
    </row>
    <row r="350" spans="1:3" x14ac:dyDescent="0.25">
      <c r="A350">
        <v>110</v>
      </c>
      <c r="B350" t="s">
        <v>28</v>
      </c>
      <c r="C350" t="s">
        <v>43</v>
      </c>
    </row>
    <row r="351" spans="1:3" x14ac:dyDescent="0.25">
      <c r="A351">
        <v>110.9</v>
      </c>
      <c r="B351" t="s">
        <v>26</v>
      </c>
      <c r="C351" t="s">
        <v>38</v>
      </c>
    </row>
    <row r="352" spans="1:3" x14ac:dyDescent="0.25">
      <c r="A352">
        <v>111.8</v>
      </c>
      <c r="B352" t="s">
        <v>28</v>
      </c>
      <c r="C352" t="s">
        <v>38</v>
      </c>
    </row>
    <row r="353" spans="1:3" x14ac:dyDescent="0.25">
      <c r="A353">
        <v>112.46</v>
      </c>
      <c r="B353" t="s">
        <v>30</v>
      </c>
      <c r="C353" t="s">
        <v>46</v>
      </c>
    </row>
    <row r="354" spans="1:3" x14ac:dyDescent="0.25">
      <c r="A354">
        <v>116.4</v>
      </c>
      <c r="B354" t="s">
        <v>27</v>
      </c>
      <c r="C354" t="s">
        <v>36</v>
      </c>
    </row>
    <row r="355" spans="1:3" x14ac:dyDescent="0.25">
      <c r="A355">
        <v>117.83</v>
      </c>
      <c r="B355" t="s">
        <v>25</v>
      </c>
      <c r="C355" t="s">
        <v>47</v>
      </c>
    </row>
    <row r="356" spans="1:3" x14ac:dyDescent="0.25">
      <c r="A356">
        <v>120</v>
      </c>
      <c r="B356" t="s">
        <v>25</v>
      </c>
      <c r="C356" t="s">
        <v>47</v>
      </c>
    </row>
    <row r="357" spans="1:3" x14ac:dyDescent="0.25">
      <c r="A357">
        <v>120</v>
      </c>
      <c r="B357" t="s">
        <v>26</v>
      </c>
      <c r="C357" t="s">
        <v>43</v>
      </c>
    </row>
    <row r="358" spans="1:3" x14ac:dyDescent="0.25">
      <c r="A358">
        <v>121.22</v>
      </c>
      <c r="B358" t="s">
        <v>24</v>
      </c>
      <c r="C358" t="s">
        <v>36</v>
      </c>
    </row>
    <row r="359" spans="1:3" x14ac:dyDescent="0.25">
      <c r="A359">
        <v>127.97</v>
      </c>
      <c r="B359" t="s">
        <v>28</v>
      </c>
      <c r="C359" t="s">
        <v>47</v>
      </c>
    </row>
    <row r="360" spans="1:3" x14ac:dyDescent="0.25">
      <c r="A360">
        <v>128.28</v>
      </c>
      <c r="B360" t="s">
        <v>29</v>
      </c>
      <c r="C360" t="s">
        <v>45</v>
      </c>
    </row>
    <row r="361" spans="1:3" x14ac:dyDescent="0.25">
      <c r="A361">
        <v>131.47</v>
      </c>
      <c r="B361" t="s">
        <v>28</v>
      </c>
      <c r="C361" t="s">
        <v>36</v>
      </c>
    </row>
    <row r="362" spans="1:3" x14ac:dyDescent="0.25">
      <c r="A362">
        <v>131.80000000000001</v>
      </c>
      <c r="B362" t="s">
        <v>25</v>
      </c>
      <c r="C362" t="s">
        <v>43</v>
      </c>
    </row>
    <row r="363" spans="1:3" x14ac:dyDescent="0.25">
      <c r="A363">
        <v>131.80000000000001</v>
      </c>
      <c r="B363" t="s">
        <v>29</v>
      </c>
      <c r="C363" t="s">
        <v>38</v>
      </c>
    </row>
    <row r="364" spans="1:3" x14ac:dyDescent="0.25">
      <c r="A364">
        <v>131.80000000000001</v>
      </c>
      <c r="B364" t="s">
        <v>29</v>
      </c>
      <c r="C364" t="s">
        <v>44</v>
      </c>
    </row>
    <row r="365" spans="1:3" x14ac:dyDescent="0.25">
      <c r="A365">
        <v>132.63999999999999</v>
      </c>
      <c r="B365" t="s">
        <v>27</v>
      </c>
      <c r="C365" t="s">
        <v>36</v>
      </c>
    </row>
    <row r="366" spans="1:3" x14ac:dyDescent="0.25">
      <c r="A366">
        <v>133.93</v>
      </c>
      <c r="B366" t="s">
        <v>30</v>
      </c>
      <c r="C366" t="s">
        <v>46</v>
      </c>
    </row>
    <row r="367" spans="1:3" x14ac:dyDescent="0.25">
      <c r="A367">
        <v>147.72</v>
      </c>
      <c r="B367" t="s">
        <v>27</v>
      </c>
      <c r="C367" t="s">
        <v>33</v>
      </c>
    </row>
    <row r="368" spans="1:3" x14ac:dyDescent="0.25">
      <c r="A368">
        <v>150</v>
      </c>
      <c r="B368" t="s">
        <v>24</v>
      </c>
      <c r="C368" t="s">
        <v>46</v>
      </c>
    </row>
    <row r="369" spans="1:3" x14ac:dyDescent="0.25">
      <c r="A369">
        <v>150</v>
      </c>
      <c r="B369" t="s">
        <v>24</v>
      </c>
      <c r="C369" t="s">
        <v>46</v>
      </c>
    </row>
    <row r="370" spans="1:3" x14ac:dyDescent="0.25">
      <c r="A370">
        <v>150</v>
      </c>
      <c r="B370" t="s">
        <v>25</v>
      </c>
      <c r="C370" t="s">
        <v>48</v>
      </c>
    </row>
    <row r="371" spans="1:3" x14ac:dyDescent="0.25">
      <c r="A371">
        <v>150</v>
      </c>
      <c r="B371" t="s">
        <v>25</v>
      </c>
      <c r="C371" t="s">
        <v>39</v>
      </c>
    </row>
    <row r="372" spans="1:3" x14ac:dyDescent="0.25">
      <c r="A372">
        <v>150</v>
      </c>
      <c r="B372" t="s">
        <v>25</v>
      </c>
      <c r="C372" t="s">
        <v>44</v>
      </c>
    </row>
    <row r="373" spans="1:3" x14ac:dyDescent="0.25">
      <c r="A373">
        <v>150</v>
      </c>
      <c r="B373" t="s">
        <v>26</v>
      </c>
      <c r="C373" t="s">
        <v>44</v>
      </c>
    </row>
    <row r="374" spans="1:3" x14ac:dyDescent="0.25">
      <c r="A374">
        <v>150</v>
      </c>
      <c r="B374" t="s">
        <v>28</v>
      </c>
      <c r="C374" t="s">
        <v>44</v>
      </c>
    </row>
    <row r="375" spans="1:3" x14ac:dyDescent="0.25">
      <c r="A375">
        <v>150</v>
      </c>
      <c r="B375" t="s">
        <v>28</v>
      </c>
      <c r="C375" t="s">
        <v>44</v>
      </c>
    </row>
    <row r="376" spans="1:3" x14ac:dyDescent="0.25">
      <c r="A376">
        <v>150</v>
      </c>
      <c r="B376" t="s">
        <v>29</v>
      </c>
      <c r="C376" t="s">
        <v>44</v>
      </c>
    </row>
    <row r="377" spans="1:3" x14ac:dyDescent="0.25">
      <c r="A377">
        <v>150</v>
      </c>
      <c r="B377" t="s">
        <v>30</v>
      </c>
      <c r="C377" t="s">
        <v>33</v>
      </c>
    </row>
    <row r="378" spans="1:3" x14ac:dyDescent="0.25">
      <c r="A378">
        <v>150</v>
      </c>
      <c r="B378" t="s">
        <v>30</v>
      </c>
      <c r="C378" t="s">
        <v>43</v>
      </c>
    </row>
    <row r="379" spans="1:3" x14ac:dyDescent="0.25">
      <c r="A379">
        <v>150</v>
      </c>
      <c r="B379" t="s">
        <v>30</v>
      </c>
      <c r="C379" t="s">
        <v>44</v>
      </c>
    </row>
    <row r="380" spans="1:3" x14ac:dyDescent="0.25">
      <c r="A380">
        <v>150</v>
      </c>
      <c r="B380" t="s">
        <v>30</v>
      </c>
      <c r="C380" t="s">
        <v>44</v>
      </c>
    </row>
    <row r="381" spans="1:3" x14ac:dyDescent="0.25">
      <c r="A381">
        <v>150</v>
      </c>
      <c r="B381" t="s">
        <v>30</v>
      </c>
      <c r="C381" t="s">
        <v>44</v>
      </c>
    </row>
    <row r="382" spans="1:3" x14ac:dyDescent="0.25">
      <c r="A382">
        <v>150</v>
      </c>
      <c r="B382" t="s">
        <v>30</v>
      </c>
      <c r="C382" t="s">
        <v>46</v>
      </c>
    </row>
    <row r="383" spans="1:3" x14ac:dyDescent="0.25">
      <c r="A383">
        <v>154.47999999999999</v>
      </c>
      <c r="B383" t="s">
        <v>29</v>
      </c>
      <c r="C383" t="s">
        <v>36</v>
      </c>
    </row>
    <row r="384" spans="1:3" x14ac:dyDescent="0.25">
      <c r="A384">
        <v>159.66</v>
      </c>
      <c r="B384" t="s">
        <v>26</v>
      </c>
      <c r="C384" t="s">
        <v>33</v>
      </c>
    </row>
    <row r="385" spans="1:3" x14ac:dyDescent="0.25">
      <c r="A385">
        <v>163.24</v>
      </c>
      <c r="B385" t="s">
        <v>28</v>
      </c>
      <c r="C385" t="s">
        <v>47</v>
      </c>
    </row>
    <row r="386" spans="1:3" x14ac:dyDescent="0.25">
      <c r="A386">
        <v>163.51</v>
      </c>
      <c r="B386" t="s">
        <v>28</v>
      </c>
      <c r="C386" t="s">
        <v>36</v>
      </c>
    </row>
    <row r="387" spans="1:3" x14ac:dyDescent="0.25">
      <c r="A387">
        <v>166.01</v>
      </c>
      <c r="B387" t="s">
        <v>28</v>
      </c>
      <c r="C387" t="s">
        <v>47</v>
      </c>
    </row>
    <row r="388" spans="1:3" x14ac:dyDescent="0.25">
      <c r="A388">
        <v>168</v>
      </c>
      <c r="B388" t="s">
        <v>30</v>
      </c>
      <c r="C388" t="s">
        <v>33</v>
      </c>
    </row>
    <row r="389" spans="1:3" x14ac:dyDescent="0.25">
      <c r="A389">
        <v>168.11</v>
      </c>
      <c r="B389" t="s">
        <v>25</v>
      </c>
      <c r="C389" t="s">
        <v>36</v>
      </c>
    </row>
    <row r="390" spans="1:3" x14ac:dyDescent="0.25">
      <c r="A390">
        <v>169.74</v>
      </c>
      <c r="B390" t="s">
        <v>24</v>
      </c>
      <c r="C390" t="s">
        <v>37</v>
      </c>
    </row>
    <row r="391" spans="1:3" x14ac:dyDescent="0.25">
      <c r="A391">
        <v>171.82</v>
      </c>
      <c r="B391" t="s">
        <v>26</v>
      </c>
      <c r="C391" t="s">
        <v>33</v>
      </c>
    </row>
    <row r="392" spans="1:3" x14ac:dyDescent="0.25">
      <c r="A392">
        <v>175.16</v>
      </c>
      <c r="B392" t="s">
        <v>29</v>
      </c>
      <c r="C392" t="s">
        <v>41</v>
      </c>
    </row>
    <row r="393" spans="1:3" x14ac:dyDescent="0.25">
      <c r="A393">
        <v>175.53</v>
      </c>
      <c r="B393" t="s">
        <v>30</v>
      </c>
      <c r="C393" t="s">
        <v>33</v>
      </c>
    </row>
    <row r="394" spans="1:3" x14ac:dyDescent="0.25">
      <c r="A394">
        <v>176.97</v>
      </c>
      <c r="B394" t="s">
        <v>28</v>
      </c>
      <c r="C394" t="s">
        <v>45</v>
      </c>
    </row>
    <row r="395" spans="1:3" x14ac:dyDescent="0.25">
      <c r="A395">
        <v>179.12</v>
      </c>
      <c r="B395" t="s">
        <v>24</v>
      </c>
      <c r="C395" t="s">
        <v>46</v>
      </c>
    </row>
    <row r="396" spans="1:3" x14ac:dyDescent="0.25">
      <c r="A396">
        <v>180.34</v>
      </c>
      <c r="B396" t="s">
        <v>24</v>
      </c>
      <c r="C396" t="s">
        <v>34</v>
      </c>
    </row>
    <row r="397" spans="1:3" x14ac:dyDescent="0.25">
      <c r="A397">
        <v>190.25</v>
      </c>
      <c r="B397" t="s">
        <v>24</v>
      </c>
      <c r="C397" t="s">
        <v>37</v>
      </c>
    </row>
    <row r="398" spans="1:3" x14ac:dyDescent="0.25">
      <c r="A398">
        <v>193</v>
      </c>
      <c r="B398" t="s">
        <v>24</v>
      </c>
      <c r="C398" t="s">
        <v>37</v>
      </c>
    </row>
    <row r="399" spans="1:3" x14ac:dyDescent="0.25">
      <c r="A399">
        <v>193.06</v>
      </c>
      <c r="B399" t="s">
        <v>25</v>
      </c>
      <c r="C399" t="s">
        <v>37</v>
      </c>
    </row>
    <row r="400" spans="1:3" x14ac:dyDescent="0.25">
      <c r="A400">
        <v>195.23</v>
      </c>
      <c r="B400" t="s">
        <v>24</v>
      </c>
      <c r="C400" t="s">
        <v>43</v>
      </c>
    </row>
    <row r="401" spans="1:3" x14ac:dyDescent="0.25">
      <c r="A401">
        <v>195.99</v>
      </c>
      <c r="B401" t="s">
        <v>24</v>
      </c>
      <c r="C401" t="s">
        <v>34</v>
      </c>
    </row>
    <row r="402" spans="1:3" x14ac:dyDescent="0.25">
      <c r="A402">
        <v>196.25</v>
      </c>
      <c r="B402" t="s">
        <v>26</v>
      </c>
      <c r="C402" t="s">
        <v>44</v>
      </c>
    </row>
    <row r="403" spans="1:3" x14ac:dyDescent="0.25">
      <c r="A403">
        <v>197.7</v>
      </c>
      <c r="B403" t="s">
        <v>25</v>
      </c>
      <c r="C403" t="s">
        <v>44</v>
      </c>
    </row>
    <row r="404" spans="1:3" x14ac:dyDescent="0.25">
      <c r="A404">
        <v>197.7</v>
      </c>
      <c r="B404" t="s">
        <v>26</v>
      </c>
      <c r="C404" t="s">
        <v>33</v>
      </c>
    </row>
    <row r="405" spans="1:3" x14ac:dyDescent="0.25">
      <c r="A405">
        <v>197.7</v>
      </c>
      <c r="B405" t="s">
        <v>26</v>
      </c>
      <c r="C405" t="s">
        <v>44</v>
      </c>
    </row>
    <row r="406" spans="1:3" x14ac:dyDescent="0.25">
      <c r="A406">
        <v>197.7</v>
      </c>
      <c r="B406" t="s">
        <v>29</v>
      </c>
      <c r="C406" t="s">
        <v>50</v>
      </c>
    </row>
    <row r="407" spans="1:3" x14ac:dyDescent="0.25">
      <c r="A407">
        <v>198.53</v>
      </c>
      <c r="B407" t="s">
        <v>25</v>
      </c>
      <c r="C407" t="s">
        <v>44</v>
      </c>
    </row>
    <row r="408" spans="1:3" x14ac:dyDescent="0.25">
      <c r="A408">
        <v>199.34</v>
      </c>
      <c r="B408" t="s">
        <v>26</v>
      </c>
      <c r="C408" t="s">
        <v>36</v>
      </c>
    </row>
    <row r="409" spans="1:3" x14ac:dyDescent="0.25">
      <c r="A409">
        <v>200</v>
      </c>
      <c r="B409" t="s">
        <v>24</v>
      </c>
      <c r="C409" t="s">
        <v>34</v>
      </c>
    </row>
    <row r="410" spans="1:3" x14ac:dyDescent="0.25">
      <c r="A410">
        <v>200</v>
      </c>
      <c r="B410" t="s">
        <v>24</v>
      </c>
      <c r="C410" t="s">
        <v>44</v>
      </c>
    </row>
    <row r="411" spans="1:3" x14ac:dyDescent="0.25">
      <c r="A411">
        <v>200</v>
      </c>
      <c r="B411" t="s">
        <v>25</v>
      </c>
      <c r="C411" t="s">
        <v>44</v>
      </c>
    </row>
    <row r="412" spans="1:3" x14ac:dyDescent="0.25">
      <c r="A412">
        <v>200</v>
      </c>
      <c r="B412" t="s">
        <v>25</v>
      </c>
      <c r="C412" t="s">
        <v>46</v>
      </c>
    </row>
    <row r="413" spans="1:3" x14ac:dyDescent="0.25">
      <c r="A413">
        <v>200</v>
      </c>
      <c r="B413" t="s">
        <v>25</v>
      </c>
      <c r="C413" t="s">
        <v>46</v>
      </c>
    </row>
    <row r="414" spans="1:3" x14ac:dyDescent="0.25">
      <c r="A414">
        <v>200</v>
      </c>
      <c r="B414" t="s">
        <v>26</v>
      </c>
      <c r="C414" t="s">
        <v>34</v>
      </c>
    </row>
    <row r="415" spans="1:3" x14ac:dyDescent="0.25">
      <c r="A415">
        <v>200</v>
      </c>
      <c r="B415" t="s">
        <v>26</v>
      </c>
      <c r="C415" t="s">
        <v>43</v>
      </c>
    </row>
    <row r="416" spans="1:3" x14ac:dyDescent="0.25">
      <c r="A416">
        <v>200</v>
      </c>
      <c r="B416" t="s">
        <v>26</v>
      </c>
      <c r="C416" t="s">
        <v>44</v>
      </c>
    </row>
    <row r="417" spans="1:3" x14ac:dyDescent="0.25">
      <c r="A417">
        <v>200</v>
      </c>
      <c r="B417" t="s">
        <v>28</v>
      </c>
      <c r="C417" t="s">
        <v>38</v>
      </c>
    </row>
    <row r="418" spans="1:3" x14ac:dyDescent="0.25">
      <c r="A418">
        <v>200</v>
      </c>
      <c r="B418" t="s">
        <v>28</v>
      </c>
      <c r="C418" t="s">
        <v>44</v>
      </c>
    </row>
    <row r="419" spans="1:3" x14ac:dyDescent="0.25">
      <c r="A419">
        <v>200</v>
      </c>
      <c r="B419" t="s">
        <v>29</v>
      </c>
      <c r="C419" t="s">
        <v>43</v>
      </c>
    </row>
    <row r="420" spans="1:3" x14ac:dyDescent="0.25">
      <c r="A420">
        <v>200</v>
      </c>
      <c r="B420" t="s">
        <v>29</v>
      </c>
      <c r="C420" t="s">
        <v>44</v>
      </c>
    </row>
    <row r="421" spans="1:3" x14ac:dyDescent="0.25">
      <c r="A421">
        <v>200</v>
      </c>
      <c r="B421" t="s">
        <v>30</v>
      </c>
      <c r="C421" t="s">
        <v>38</v>
      </c>
    </row>
    <row r="422" spans="1:3" x14ac:dyDescent="0.25">
      <c r="A422">
        <v>200.13</v>
      </c>
      <c r="B422" t="s">
        <v>24</v>
      </c>
      <c r="C422" t="s">
        <v>46</v>
      </c>
    </row>
    <row r="423" spans="1:3" x14ac:dyDescent="0.25">
      <c r="A423">
        <v>202</v>
      </c>
      <c r="B423" t="s">
        <v>25</v>
      </c>
      <c r="C423" t="s">
        <v>32</v>
      </c>
    </row>
    <row r="424" spans="1:3" x14ac:dyDescent="0.25">
      <c r="A424">
        <v>204.24</v>
      </c>
      <c r="B424" t="s">
        <v>24</v>
      </c>
      <c r="C424" t="s">
        <v>33</v>
      </c>
    </row>
    <row r="425" spans="1:3" x14ac:dyDescent="0.25">
      <c r="A425">
        <v>209.1</v>
      </c>
      <c r="B425" t="s">
        <v>29</v>
      </c>
      <c r="C425" t="s">
        <v>49</v>
      </c>
    </row>
    <row r="426" spans="1:3" x14ac:dyDescent="0.25">
      <c r="A426">
        <v>210.88</v>
      </c>
      <c r="B426" t="s">
        <v>24</v>
      </c>
      <c r="C426" t="s">
        <v>46</v>
      </c>
    </row>
    <row r="427" spans="1:3" x14ac:dyDescent="0.25">
      <c r="A427">
        <v>211.45</v>
      </c>
      <c r="B427" t="s">
        <v>30</v>
      </c>
      <c r="C427" t="s">
        <v>43</v>
      </c>
    </row>
    <row r="428" spans="1:3" x14ac:dyDescent="0.25">
      <c r="A428">
        <v>216.02</v>
      </c>
      <c r="B428" t="s">
        <v>26</v>
      </c>
      <c r="C428" t="s">
        <v>46</v>
      </c>
    </row>
    <row r="429" spans="1:3" x14ac:dyDescent="0.25">
      <c r="A429">
        <v>216.42</v>
      </c>
      <c r="B429" t="s">
        <v>24</v>
      </c>
      <c r="C429" t="s">
        <v>34</v>
      </c>
    </row>
    <row r="430" spans="1:3" x14ac:dyDescent="0.25">
      <c r="A430">
        <v>217.01</v>
      </c>
      <c r="B430" t="s">
        <v>30</v>
      </c>
      <c r="C430" t="s">
        <v>34</v>
      </c>
    </row>
    <row r="431" spans="1:3" x14ac:dyDescent="0.25">
      <c r="A431">
        <v>217.14</v>
      </c>
      <c r="B431" t="s">
        <v>30</v>
      </c>
      <c r="C431" t="s">
        <v>40</v>
      </c>
    </row>
    <row r="432" spans="1:3" x14ac:dyDescent="0.25">
      <c r="A432">
        <v>218.84</v>
      </c>
      <c r="B432" t="s">
        <v>30</v>
      </c>
      <c r="C432" t="s">
        <v>46</v>
      </c>
    </row>
    <row r="433" spans="1:3" x14ac:dyDescent="0.25">
      <c r="A433">
        <v>222.41</v>
      </c>
      <c r="B433" t="s">
        <v>24</v>
      </c>
      <c r="C433" t="s">
        <v>34</v>
      </c>
    </row>
    <row r="434" spans="1:3" x14ac:dyDescent="0.25">
      <c r="A434">
        <v>223.73</v>
      </c>
      <c r="B434" t="s">
        <v>25</v>
      </c>
      <c r="C434" t="s">
        <v>44</v>
      </c>
    </row>
    <row r="435" spans="1:3" x14ac:dyDescent="0.25">
      <c r="A435">
        <v>225.8</v>
      </c>
      <c r="B435" t="s">
        <v>25</v>
      </c>
      <c r="C435" t="s">
        <v>34</v>
      </c>
    </row>
    <row r="436" spans="1:3" x14ac:dyDescent="0.25">
      <c r="A436">
        <v>227.06</v>
      </c>
      <c r="B436" t="s">
        <v>24</v>
      </c>
      <c r="C436" t="s">
        <v>33</v>
      </c>
    </row>
    <row r="437" spans="1:3" x14ac:dyDescent="0.25">
      <c r="A437">
        <v>227.12</v>
      </c>
      <c r="B437" t="s">
        <v>29</v>
      </c>
      <c r="C437" t="s">
        <v>44</v>
      </c>
    </row>
    <row r="438" spans="1:3" x14ac:dyDescent="0.25">
      <c r="A438">
        <v>228.27</v>
      </c>
      <c r="B438" t="s">
        <v>29</v>
      </c>
      <c r="C438" t="s">
        <v>46</v>
      </c>
    </row>
    <row r="439" spans="1:3" x14ac:dyDescent="0.25">
      <c r="A439">
        <v>228.61</v>
      </c>
      <c r="B439" t="s">
        <v>28</v>
      </c>
      <c r="C439" t="s">
        <v>44</v>
      </c>
    </row>
    <row r="440" spans="1:3" x14ac:dyDescent="0.25">
      <c r="A440">
        <v>228.78</v>
      </c>
      <c r="B440" t="s">
        <v>28</v>
      </c>
      <c r="C440" t="s">
        <v>36</v>
      </c>
    </row>
    <row r="441" spans="1:3" x14ac:dyDescent="0.25">
      <c r="A441">
        <v>229.79</v>
      </c>
      <c r="B441" t="s">
        <v>24</v>
      </c>
      <c r="C441" t="s">
        <v>33</v>
      </c>
    </row>
    <row r="442" spans="1:3" x14ac:dyDescent="0.25">
      <c r="A442">
        <v>230.06</v>
      </c>
      <c r="B442" t="s">
        <v>24</v>
      </c>
      <c r="C442" t="s">
        <v>37</v>
      </c>
    </row>
    <row r="443" spans="1:3" x14ac:dyDescent="0.25">
      <c r="A443">
        <v>230.53</v>
      </c>
      <c r="B443" t="s">
        <v>27</v>
      </c>
      <c r="C443" t="s">
        <v>37</v>
      </c>
    </row>
    <row r="444" spans="1:3" x14ac:dyDescent="0.25">
      <c r="A444">
        <v>232.07</v>
      </c>
      <c r="B444" t="s">
        <v>24</v>
      </c>
      <c r="C444" t="s">
        <v>37</v>
      </c>
    </row>
    <row r="445" spans="1:3" x14ac:dyDescent="0.25">
      <c r="A445">
        <v>235.89</v>
      </c>
      <c r="B445" t="s">
        <v>26</v>
      </c>
      <c r="C445" t="s">
        <v>46</v>
      </c>
    </row>
    <row r="446" spans="1:3" x14ac:dyDescent="0.25">
      <c r="A446">
        <v>236.69</v>
      </c>
      <c r="B446" t="s">
        <v>26</v>
      </c>
      <c r="C446" t="s">
        <v>33</v>
      </c>
    </row>
    <row r="447" spans="1:3" x14ac:dyDescent="0.25">
      <c r="A447">
        <v>238.73</v>
      </c>
      <c r="B447" t="s">
        <v>24</v>
      </c>
      <c r="C447" t="s">
        <v>37</v>
      </c>
    </row>
    <row r="448" spans="1:3" x14ac:dyDescent="0.25">
      <c r="A448">
        <v>240.14</v>
      </c>
      <c r="B448" t="s">
        <v>25</v>
      </c>
      <c r="C448" t="s">
        <v>38</v>
      </c>
    </row>
    <row r="449" spans="1:3" x14ac:dyDescent="0.25">
      <c r="A449">
        <v>242.12</v>
      </c>
      <c r="B449" t="s">
        <v>25</v>
      </c>
      <c r="C449" t="s">
        <v>36</v>
      </c>
    </row>
    <row r="450" spans="1:3" x14ac:dyDescent="0.25">
      <c r="A450">
        <v>248.1</v>
      </c>
      <c r="B450" t="s">
        <v>30</v>
      </c>
      <c r="C450" t="s">
        <v>44</v>
      </c>
    </row>
    <row r="451" spans="1:3" x14ac:dyDescent="0.25">
      <c r="A451">
        <v>249.67</v>
      </c>
      <c r="B451" t="s">
        <v>25</v>
      </c>
      <c r="C451" t="s">
        <v>45</v>
      </c>
    </row>
    <row r="452" spans="1:3" x14ac:dyDescent="0.25">
      <c r="A452">
        <v>250</v>
      </c>
      <c r="B452" t="s">
        <v>30</v>
      </c>
      <c r="C452" t="s">
        <v>46</v>
      </c>
    </row>
    <row r="453" spans="1:3" x14ac:dyDescent="0.25">
      <c r="A453">
        <v>250.09</v>
      </c>
      <c r="B453" t="s">
        <v>29</v>
      </c>
      <c r="C453" t="s">
        <v>46</v>
      </c>
    </row>
    <row r="454" spans="1:3" x14ac:dyDescent="0.25">
      <c r="A454">
        <v>251.14</v>
      </c>
      <c r="B454" t="s">
        <v>30</v>
      </c>
      <c r="C454" t="s">
        <v>46</v>
      </c>
    </row>
    <row r="455" spans="1:3" x14ac:dyDescent="0.25">
      <c r="A455">
        <v>251.47</v>
      </c>
      <c r="B455" t="s">
        <v>28</v>
      </c>
      <c r="C455" t="s">
        <v>40</v>
      </c>
    </row>
    <row r="456" spans="1:3" x14ac:dyDescent="0.25">
      <c r="A456">
        <v>252.26</v>
      </c>
      <c r="B456" t="s">
        <v>26</v>
      </c>
      <c r="C456" t="s">
        <v>37</v>
      </c>
    </row>
    <row r="457" spans="1:3" x14ac:dyDescent="0.25">
      <c r="A457">
        <v>253.82</v>
      </c>
      <c r="B457" t="s">
        <v>30</v>
      </c>
      <c r="C457" t="s">
        <v>37</v>
      </c>
    </row>
    <row r="458" spans="1:3" x14ac:dyDescent="0.25">
      <c r="A458">
        <v>254.51</v>
      </c>
      <c r="B458" t="s">
        <v>28</v>
      </c>
      <c r="C458" t="s">
        <v>34</v>
      </c>
    </row>
    <row r="459" spans="1:3" x14ac:dyDescent="0.25">
      <c r="A459">
        <v>255.69</v>
      </c>
      <c r="B459" t="s">
        <v>24</v>
      </c>
      <c r="C459" t="s">
        <v>37</v>
      </c>
    </row>
    <row r="460" spans="1:3" x14ac:dyDescent="0.25">
      <c r="A460">
        <v>257.33999999999997</v>
      </c>
      <c r="B460" t="s">
        <v>28</v>
      </c>
      <c r="C460" t="s">
        <v>37</v>
      </c>
    </row>
    <row r="461" spans="1:3" x14ac:dyDescent="0.25">
      <c r="A461">
        <v>258.45999999999998</v>
      </c>
      <c r="B461" t="s">
        <v>28</v>
      </c>
      <c r="C461" t="s">
        <v>34</v>
      </c>
    </row>
    <row r="462" spans="1:3" x14ac:dyDescent="0.25">
      <c r="A462">
        <v>259.63</v>
      </c>
      <c r="B462" t="s">
        <v>29</v>
      </c>
      <c r="C462" t="s">
        <v>36</v>
      </c>
    </row>
    <row r="463" spans="1:3" x14ac:dyDescent="0.25">
      <c r="A463">
        <v>263.2</v>
      </c>
      <c r="B463" t="s">
        <v>28</v>
      </c>
      <c r="C463" t="s">
        <v>37</v>
      </c>
    </row>
    <row r="464" spans="1:3" x14ac:dyDescent="0.25">
      <c r="A464">
        <v>263.47000000000003</v>
      </c>
      <c r="B464" t="s">
        <v>29</v>
      </c>
      <c r="C464" t="s">
        <v>37</v>
      </c>
    </row>
    <row r="465" spans="1:3" x14ac:dyDescent="0.25">
      <c r="A465">
        <v>263.55</v>
      </c>
      <c r="B465" t="s">
        <v>30</v>
      </c>
      <c r="C465" t="s">
        <v>34</v>
      </c>
    </row>
    <row r="466" spans="1:3" x14ac:dyDescent="0.25">
      <c r="A466">
        <v>263.67</v>
      </c>
      <c r="B466" t="s">
        <v>30</v>
      </c>
      <c r="C466" t="s">
        <v>34</v>
      </c>
    </row>
    <row r="467" spans="1:3" x14ac:dyDescent="0.25">
      <c r="A467">
        <v>264.83</v>
      </c>
      <c r="B467" t="s">
        <v>26</v>
      </c>
      <c r="C467" t="s">
        <v>40</v>
      </c>
    </row>
    <row r="468" spans="1:3" x14ac:dyDescent="0.25">
      <c r="A468">
        <v>264.98</v>
      </c>
      <c r="B468" t="s">
        <v>30</v>
      </c>
      <c r="C468" t="s">
        <v>39</v>
      </c>
    </row>
    <row r="469" spans="1:3" x14ac:dyDescent="0.25">
      <c r="A469">
        <v>265.25</v>
      </c>
      <c r="B469" t="s">
        <v>26</v>
      </c>
      <c r="C469" t="s">
        <v>47</v>
      </c>
    </row>
    <row r="470" spans="1:3" x14ac:dyDescent="0.25">
      <c r="A470">
        <v>267.92</v>
      </c>
      <c r="B470" t="s">
        <v>25</v>
      </c>
      <c r="C470" t="s">
        <v>34</v>
      </c>
    </row>
    <row r="471" spans="1:3" x14ac:dyDescent="0.25">
      <c r="A471">
        <v>268.54000000000002</v>
      </c>
      <c r="B471" t="s">
        <v>26</v>
      </c>
      <c r="C471" t="s">
        <v>47</v>
      </c>
    </row>
    <row r="472" spans="1:3" x14ac:dyDescent="0.25">
      <c r="A472">
        <v>269.99</v>
      </c>
      <c r="B472" t="s">
        <v>25</v>
      </c>
      <c r="C472" t="s">
        <v>34</v>
      </c>
    </row>
    <row r="473" spans="1:3" x14ac:dyDescent="0.25">
      <c r="A473">
        <v>272.52999999999997</v>
      </c>
      <c r="B473" t="s">
        <v>26</v>
      </c>
      <c r="C473" t="s">
        <v>47</v>
      </c>
    </row>
    <row r="474" spans="1:3" x14ac:dyDescent="0.25">
      <c r="A474">
        <v>273.83</v>
      </c>
      <c r="B474" t="s">
        <v>25</v>
      </c>
      <c r="C474" t="s">
        <v>44</v>
      </c>
    </row>
    <row r="475" spans="1:3" x14ac:dyDescent="0.25">
      <c r="A475">
        <v>274.02999999999997</v>
      </c>
      <c r="B475" t="s">
        <v>27</v>
      </c>
      <c r="C475" t="s">
        <v>37</v>
      </c>
    </row>
    <row r="476" spans="1:3" x14ac:dyDescent="0.25">
      <c r="A476">
        <v>275.58999999999997</v>
      </c>
      <c r="B476" t="s">
        <v>24</v>
      </c>
      <c r="C476" t="s">
        <v>37</v>
      </c>
    </row>
    <row r="477" spans="1:3" x14ac:dyDescent="0.25">
      <c r="A477">
        <v>276.33</v>
      </c>
      <c r="B477" t="s">
        <v>23</v>
      </c>
      <c r="C477" t="s">
        <v>33</v>
      </c>
    </row>
    <row r="478" spans="1:3" x14ac:dyDescent="0.25">
      <c r="A478">
        <v>277.57</v>
      </c>
      <c r="B478" t="s">
        <v>25</v>
      </c>
      <c r="C478" t="s">
        <v>38</v>
      </c>
    </row>
    <row r="479" spans="1:3" x14ac:dyDescent="0.25">
      <c r="A479">
        <v>280.93</v>
      </c>
      <c r="B479" t="s">
        <v>28</v>
      </c>
      <c r="C479" t="s">
        <v>33</v>
      </c>
    </row>
    <row r="480" spans="1:3" x14ac:dyDescent="0.25">
      <c r="A480">
        <v>283.37</v>
      </c>
      <c r="B480" t="s">
        <v>29</v>
      </c>
      <c r="C480" t="s">
        <v>37</v>
      </c>
    </row>
    <row r="481" spans="1:3" x14ac:dyDescent="0.25">
      <c r="A481">
        <v>287.42</v>
      </c>
      <c r="B481" t="s">
        <v>24</v>
      </c>
      <c r="C481" t="s">
        <v>42</v>
      </c>
    </row>
    <row r="482" spans="1:3" x14ac:dyDescent="0.25">
      <c r="A482">
        <v>288.81</v>
      </c>
      <c r="B482" t="s">
        <v>29</v>
      </c>
      <c r="C482" t="s">
        <v>38</v>
      </c>
    </row>
    <row r="483" spans="1:3" x14ac:dyDescent="0.25">
      <c r="A483">
        <v>289.08999999999997</v>
      </c>
      <c r="B483" t="s">
        <v>25</v>
      </c>
      <c r="C483" t="s">
        <v>33</v>
      </c>
    </row>
    <row r="484" spans="1:3" x14ac:dyDescent="0.25">
      <c r="A484">
        <v>290.02999999999997</v>
      </c>
      <c r="B484" t="s">
        <v>29</v>
      </c>
      <c r="C484" t="s">
        <v>34</v>
      </c>
    </row>
    <row r="485" spans="1:3" x14ac:dyDescent="0.25">
      <c r="A485">
        <v>292.58999999999997</v>
      </c>
      <c r="B485" t="s">
        <v>24</v>
      </c>
      <c r="C485" t="s">
        <v>36</v>
      </c>
    </row>
    <row r="486" spans="1:3" x14ac:dyDescent="0.25">
      <c r="A486">
        <v>293.12</v>
      </c>
      <c r="B486" t="s">
        <v>25</v>
      </c>
      <c r="C486" t="s">
        <v>46</v>
      </c>
    </row>
    <row r="487" spans="1:3" x14ac:dyDescent="0.25">
      <c r="A487">
        <v>295.3</v>
      </c>
      <c r="B487" t="s">
        <v>24</v>
      </c>
      <c r="C487" t="s">
        <v>33</v>
      </c>
    </row>
    <row r="488" spans="1:3" x14ac:dyDescent="0.25">
      <c r="A488">
        <v>296.33</v>
      </c>
      <c r="B488" t="s">
        <v>29</v>
      </c>
      <c r="C488" t="s">
        <v>37</v>
      </c>
    </row>
    <row r="489" spans="1:3" x14ac:dyDescent="0.25">
      <c r="A489">
        <v>296.79000000000002</v>
      </c>
      <c r="B489" t="s">
        <v>27</v>
      </c>
      <c r="C489" t="s">
        <v>36</v>
      </c>
    </row>
    <row r="490" spans="1:3" x14ac:dyDescent="0.25">
      <c r="A490">
        <v>299.04000000000002</v>
      </c>
      <c r="B490" t="s">
        <v>28</v>
      </c>
      <c r="C490" t="s">
        <v>36</v>
      </c>
    </row>
    <row r="491" spans="1:3" x14ac:dyDescent="0.25">
      <c r="A491">
        <v>300</v>
      </c>
      <c r="B491" t="s">
        <v>24</v>
      </c>
      <c r="C491" t="s">
        <v>40</v>
      </c>
    </row>
    <row r="492" spans="1:3" x14ac:dyDescent="0.25">
      <c r="A492">
        <v>300</v>
      </c>
      <c r="B492" t="s">
        <v>29</v>
      </c>
      <c r="C492" t="s">
        <v>39</v>
      </c>
    </row>
    <row r="493" spans="1:3" x14ac:dyDescent="0.25">
      <c r="A493">
        <v>300.41000000000003</v>
      </c>
      <c r="B493" t="s">
        <v>26</v>
      </c>
      <c r="C493" t="s">
        <v>33</v>
      </c>
    </row>
    <row r="494" spans="1:3" x14ac:dyDescent="0.25">
      <c r="A494">
        <v>305.91000000000003</v>
      </c>
      <c r="B494" t="s">
        <v>28</v>
      </c>
      <c r="C494" t="s">
        <v>44</v>
      </c>
    </row>
    <row r="495" spans="1:3" x14ac:dyDescent="0.25">
      <c r="A495">
        <v>307</v>
      </c>
      <c r="B495" t="s">
        <v>26</v>
      </c>
      <c r="C495" t="s">
        <v>33</v>
      </c>
    </row>
    <row r="496" spans="1:3" x14ac:dyDescent="0.25">
      <c r="A496">
        <v>307.55</v>
      </c>
      <c r="B496" t="s">
        <v>29</v>
      </c>
      <c r="C496" t="s">
        <v>33</v>
      </c>
    </row>
    <row r="497" spans="1:3" x14ac:dyDescent="0.25">
      <c r="A497">
        <v>307.61</v>
      </c>
      <c r="B497" t="s">
        <v>28</v>
      </c>
      <c r="C497" t="s">
        <v>46</v>
      </c>
    </row>
    <row r="498" spans="1:3" x14ac:dyDescent="0.25">
      <c r="A498">
        <v>310</v>
      </c>
      <c r="B498" t="s">
        <v>28</v>
      </c>
      <c r="C498" t="s">
        <v>33</v>
      </c>
    </row>
    <row r="499" spans="1:3" x14ac:dyDescent="0.25">
      <c r="A499">
        <v>310.43</v>
      </c>
      <c r="B499" t="s">
        <v>24</v>
      </c>
      <c r="C499" t="s">
        <v>45</v>
      </c>
    </row>
    <row r="500" spans="1:3" x14ac:dyDescent="0.25">
      <c r="A500">
        <v>313.12</v>
      </c>
      <c r="B500" t="s">
        <v>30</v>
      </c>
      <c r="C500" t="s">
        <v>39</v>
      </c>
    </row>
    <row r="501" spans="1:3" x14ac:dyDescent="0.25">
      <c r="A501">
        <v>314</v>
      </c>
      <c r="B501" t="s">
        <v>28</v>
      </c>
      <c r="C501" t="s">
        <v>45</v>
      </c>
    </row>
    <row r="502" spans="1:3" x14ac:dyDescent="0.25">
      <c r="A502">
        <v>315.04000000000002</v>
      </c>
      <c r="B502" t="s">
        <v>25</v>
      </c>
      <c r="C502" t="s">
        <v>47</v>
      </c>
    </row>
    <row r="503" spans="1:3" x14ac:dyDescent="0.25">
      <c r="A503">
        <v>316.52</v>
      </c>
      <c r="B503" t="s">
        <v>28</v>
      </c>
      <c r="C503" t="s">
        <v>46</v>
      </c>
    </row>
    <row r="504" spans="1:3" x14ac:dyDescent="0.25">
      <c r="A504">
        <v>321.16000000000003</v>
      </c>
      <c r="B504" t="s">
        <v>24</v>
      </c>
      <c r="C504" t="s">
        <v>36</v>
      </c>
    </row>
    <row r="505" spans="1:3" x14ac:dyDescent="0.25">
      <c r="A505">
        <v>321.83999999999997</v>
      </c>
      <c r="B505" t="s">
        <v>26</v>
      </c>
      <c r="C505" t="s">
        <v>44</v>
      </c>
    </row>
    <row r="506" spans="1:3" x14ac:dyDescent="0.25">
      <c r="A506">
        <v>322.11</v>
      </c>
      <c r="B506" t="s">
        <v>29</v>
      </c>
      <c r="C506" t="s">
        <v>37</v>
      </c>
    </row>
    <row r="507" spans="1:3" x14ac:dyDescent="0.25">
      <c r="A507">
        <v>324.87</v>
      </c>
      <c r="B507" t="s">
        <v>25</v>
      </c>
      <c r="C507" t="s">
        <v>40</v>
      </c>
    </row>
    <row r="508" spans="1:3" x14ac:dyDescent="0.25">
      <c r="A508">
        <v>327.91</v>
      </c>
      <c r="B508" t="s">
        <v>30</v>
      </c>
      <c r="C508" t="s">
        <v>46</v>
      </c>
    </row>
    <row r="509" spans="1:3" x14ac:dyDescent="0.25">
      <c r="A509">
        <v>329.43</v>
      </c>
      <c r="B509" t="s">
        <v>26</v>
      </c>
      <c r="C509" t="s">
        <v>46</v>
      </c>
    </row>
    <row r="510" spans="1:3" x14ac:dyDescent="0.25">
      <c r="A510">
        <v>329.5</v>
      </c>
      <c r="B510" t="s">
        <v>26</v>
      </c>
      <c r="C510" t="s">
        <v>37</v>
      </c>
    </row>
    <row r="511" spans="1:3" x14ac:dyDescent="0.25">
      <c r="A511">
        <v>329.72</v>
      </c>
      <c r="B511" t="s">
        <v>24</v>
      </c>
      <c r="C511" t="s">
        <v>47</v>
      </c>
    </row>
    <row r="512" spans="1:3" x14ac:dyDescent="0.25">
      <c r="A512">
        <v>333.55</v>
      </c>
      <c r="B512" t="s">
        <v>24</v>
      </c>
      <c r="C512" t="s">
        <v>42</v>
      </c>
    </row>
    <row r="513" spans="1:3" x14ac:dyDescent="0.25">
      <c r="A513">
        <v>345.05</v>
      </c>
      <c r="B513" t="s">
        <v>24</v>
      </c>
      <c r="C513" t="s">
        <v>32</v>
      </c>
    </row>
    <row r="514" spans="1:3" x14ac:dyDescent="0.25">
      <c r="A514">
        <v>347.39</v>
      </c>
      <c r="B514" t="s">
        <v>24</v>
      </c>
      <c r="C514" t="s">
        <v>33</v>
      </c>
    </row>
    <row r="515" spans="1:3" x14ac:dyDescent="0.25">
      <c r="A515">
        <v>348.7</v>
      </c>
      <c r="B515" t="s">
        <v>27</v>
      </c>
      <c r="C515" t="s">
        <v>45</v>
      </c>
    </row>
    <row r="516" spans="1:3" x14ac:dyDescent="0.25">
      <c r="A516">
        <v>350.56</v>
      </c>
      <c r="B516" t="s">
        <v>28</v>
      </c>
      <c r="C516" t="s">
        <v>44</v>
      </c>
    </row>
    <row r="517" spans="1:3" x14ac:dyDescent="0.25">
      <c r="A517">
        <v>356.45</v>
      </c>
      <c r="B517" t="s">
        <v>30</v>
      </c>
      <c r="C517" t="s">
        <v>34</v>
      </c>
    </row>
    <row r="518" spans="1:3" x14ac:dyDescent="0.25">
      <c r="A518">
        <v>362.95</v>
      </c>
      <c r="B518" t="s">
        <v>24</v>
      </c>
      <c r="C518" t="s">
        <v>34</v>
      </c>
    </row>
    <row r="519" spans="1:3" x14ac:dyDescent="0.25">
      <c r="A519">
        <v>367</v>
      </c>
      <c r="B519" t="s">
        <v>25</v>
      </c>
      <c r="C519" t="s">
        <v>33</v>
      </c>
    </row>
    <row r="520" spans="1:3" x14ac:dyDescent="0.25">
      <c r="A520">
        <v>373.72</v>
      </c>
      <c r="B520" t="s">
        <v>29</v>
      </c>
      <c r="C520" t="s">
        <v>37</v>
      </c>
    </row>
    <row r="521" spans="1:3" x14ac:dyDescent="0.25">
      <c r="A521">
        <v>374.56</v>
      </c>
      <c r="B521" t="s">
        <v>28</v>
      </c>
      <c r="C521" t="s">
        <v>37</v>
      </c>
    </row>
    <row r="522" spans="1:3" x14ac:dyDescent="0.25">
      <c r="A522">
        <v>383.84</v>
      </c>
      <c r="B522" t="s">
        <v>28</v>
      </c>
      <c r="C522" t="s">
        <v>44</v>
      </c>
    </row>
    <row r="523" spans="1:3" x14ac:dyDescent="0.25">
      <c r="A523">
        <v>384</v>
      </c>
      <c r="B523" t="s">
        <v>27</v>
      </c>
      <c r="C523" t="s">
        <v>32</v>
      </c>
    </row>
    <row r="524" spans="1:3" x14ac:dyDescent="0.25">
      <c r="A524">
        <v>386.67</v>
      </c>
      <c r="B524" t="s">
        <v>26</v>
      </c>
      <c r="C524" t="s">
        <v>36</v>
      </c>
    </row>
    <row r="525" spans="1:3" x14ac:dyDescent="0.25">
      <c r="A525">
        <v>390.03</v>
      </c>
      <c r="B525" t="s">
        <v>30</v>
      </c>
      <c r="C525" t="s">
        <v>33</v>
      </c>
    </row>
    <row r="526" spans="1:3" x14ac:dyDescent="0.25">
      <c r="A526">
        <v>410</v>
      </c>
      <c r="B526" t="s">
        <v>29</v>
      </c>
      <c r="C526" t="s">
        <v>33</v>
      </c>
    </row>
    <row r="527" spans="1:3" x14ac:dyDescent="0.25">
      <c r="A527">
        <v>426.53</v>
      </c>
      <c r="B527" t="s">
        <v>24</v>
      </c>
      <c r="C527" t="s">
        <v>46</v>
      </c>
    </row>
    <row r="528" spans="1:3" x14ac:dyDescent="0.25">
      <c r="A528">
        <v>450</v>
      </c>
      <c r="B528" t="s">
        <v>24</v>
      </c>
      <c r="C528" t="s">
        <v>33</v>
      </c>
    </row>
    <row r="529" spans="1:3" x14ac:dyDescent="0.25">
      <c r="A529">
        <v>466.88</v>
      </c>
      <c r="B529" t="s">
        <v>30</v>
      </c>
      <c r="C529" t="s">
        <v>32</v>
      </c>
    </row>
    <row r="530" spans="1:3" x14ac:dyDescent="0.25">
      <c r="A530">
        <v>478.53</v>
      </c>
      <c r="B530" t="s">
        <v>25</v>
      </c>
      <c r="C530" t="s">
        <v>33</v>
      </c>
    </row>
    <row r="531" spans="1:3" x14ac:dyDescent="0.25">
      <c r="A531">
        <v>499.9</v>
      </c>
      <c r="B531" t="s">
        <v>28</v>
      </c>
      <c r="C531" t="s">
        <v>45</v>
      </c>
    </row>
    <row r="532" spans="1:3" x14ac:dyDescent="0.25">
      <c r="A532">
        <v>540.25</v>
      </c>
      <c r="B532" t="s">
        <v>28</v>
      </c>
      <c r="C532" t="s">
        <v>45</v>
      </c>
    </row>
    <row r="533" spans="1:3" x14ac:dyDescent="0.25">
      <c r="A533">
        <v>545.36</v>
      </c>
      <c r="B533" t="s">
        <v>27</v>
      </c>
      <c r="C533" t="s">
        <v>33</v>
      </c>
    </row>
    <row r="534" spans="1:3" x14ac:dyDescent="0.25">
      <c r="A534">
        <v>572</v>
      </c>
      <c r="B534" t="s">
        <v>28</v>
      </c>
      <c r="C534" t="s">
        <v>32</v>
      </c>
    </row>
    <row r="535" spans="1:3" x14ac:dyDescent="0.25">
      <c r="A535">
        <v>575.07000000000005</v>
      </c>
      <c r="B535" t="s">
        <v>25</v>
      </c>
      <c r="C535" t="s">
        <v>45</v>
      </c>
    </row>
    <row r="536" spans="1:3" x14ac:dyDescent="0.25">
      <c r="A536">
        <v>588.04999999999995</v>
      </c>
      <c r="B536" t="s">
        <v>25</v>
      </c>
      <c r="C536" t="s">
        <v>33</v>
      </c>
    </row>
    <row r="537" spans="1:3" x14ac:dyDescent="0.25">
      <c r="A537">
        <v>600</v>
      </c>
      <c r="B537" t="s">
        <v>30</v>
      </c>
      <c r="C537" t="s">
        <v>45</v>
      </c>
    </row>
    <row r="538" spans="1:3" x14ac:dyDescent="0.25">
      <c r="A538">
        <v>671.74</v>
      </c>
      <c r="B538" t="s">
        <v>28</v>
      </c>
      <c r="C538" t="s">
        <v>33</v>
      </c>
    </row>
    <row r="539" spans="1:3" x14ac:dyDescent="0.25">
      <c r="A539">
        <v>688.85</v>
      </c>
      <c r="B539" t="s">
        <v>25</v>
      </c>
      <c r="C539" t="s">
        <v>37</v>
      </c>
    </row>
    <row r="540" spans="1:3" x14ac:dyDescent="0.25">
      <c r="A540">
        <v>695.06</v>
      </c>
      <c r="B540" t="s">
        <v>30</v>
      </c>
      <c r="C540" t="s">
        <v>33</v>
      </c>
    </row>
    <row r="541" spans="1:3" x14ac:dyDescent="0.25">
      <c r="A541">
        <v>709.03</v>
      </c>
      <c r="B541" t="s">
        <v>24</v>
      </c>
      <c r="C541" t="s">
        <v>34</v>
      </c>
    </row>
    <row r="542" spans="1:3" x14ac:dyDescent="0.25">
      <c r="A542">
        <v>723.59</v>
      </c>
      <c r="B542" t="s">
        <v>29</v>
      </c>
      <c r="C542" t="s">
        <v>37</v>
      </c>
    </row>
    <row r="543" spans="1:3" x14ac:dyDescent="0.25">
      <c r="A543">
        <v>725.76</v>
      </c>
      <c r="B543" t="s">
        <v>28</v>
      </c>
      <c r="C543" t="s">
        <v>35</v>
      </c>
    </row>
    <row r="544" spans="1:3" x14ac:dyDescent="0.25">
      <c r="A544">
        <v>734.85</v>
      </c>
      <c r="B544" t="s">
        <v>26</v>
      </c>
      <c r="C544" t="s">
        <v>33</v>
      </c>
    </row>
    <row r="545" spans="1:3" x14ac:dyDescent="0.25">
      <c r="A545">
        <v>756.18</v>
      </c>
      <c r="B545" t="s">
        <v>26</v>
      </c>
      <c r="C545" t="s">
        <v>33</v>
      </c>
    </row>
    <row r="546" spans="1:3" x14ac:dyDescent="0.25">
      <c r="A546">
        <v>763.56</v>
      </c>
      <c r="B546" t="s">
        <v>25</v>
      </c>
      <c r="C546" t="s">
        <v>33</v>
      </c>
    </row>
    <row r="547" spans="1:3" x14ac:dyDescent="0.25">
      <c r="A547">
        <v>783.29</v>
      </c>
      <c r="B547" t="s">
        <v>26</v>
      </c>
      <c r="C547" t="s">
        <v>37</v>
      </c>
    </row>
    <row r="548" spans="1:3" x14ac:dyDescent="0.25">
      <c r="A548">
        <v>787.61</v>
      </c>
      <c r="B548" t="s">
        <v>25</v>
      </c>
      <c r="C548" t="s">
        <v>33</v>
      </c>
    </row>
    <row r="549" spans="1:3" x14ac:dyDescent="0.25">
      <c r="A549">
        <v>924.79</v>
      </c>
      <c r="B549" t="s">
        <v>29</v>
      </c>
      <c r="C549" t="s">
        <v>37</v>
      </c>
    </row>
    <row r="550" spans="1:3" x14ac:dyDescent="0.25">
      <c r="A550">
        <v>1046.1400000000001</v>
      </c>
      <c r="B550" t="s">
        <v>26</v>
      </c>
      <c r="C550" t="s">
        <v>33</v>
      </c>
    </row>
    <row r="551" spans="1:3" x14ac:dyDescent="0.25">
      <c r="A551">
        <v>1065.73</v>
      </c>
      <c r="B551" t="s">
        <v>26</v>
      </c>
      <c r="C551" t="s">
        <v>33</v>
      </c>
    </row>
    <row r="552" spans="1:3" x14ac:dyDescent="0.25">
      <c r="A552">
        <v>1434.72</v>
      </c>
      <c r="B552" t="s">
        <v>26</v>
      </c>
      <c r="C552" t="s">
        <v>36</v>
      </c>
    </row>
  </sheetData>
  <autoFilter ref="A1:C552" xr:uid="{0D7D1EB6-1162-4AC9-A761-98CACEC4F5F5}"/>
  <sortState xmlns:xlrd2="http://schemas.microsoft.com/office/spreadsheetml/2017/richdata2" ref="A2:C552">
    <sortCondition ref="A4:A55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Sheet1</vt:lpstr>
      <vt:lpstr>frota flex</vt:lpstr>
      <vt:lpstr>Planilha1</vt:lpstr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2026-02-27T11:08:20Z</dcterms:created>
  <dcterms:modified xsi:type="dcterms:W3CDTF">2026-02-27T14:03:43Z</dcterms:modified>
</cp:coreProperties>
</file>