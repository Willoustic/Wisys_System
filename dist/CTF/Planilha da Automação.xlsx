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CTF\"/>
    </mc:Choice>
  </mc:AlternateContent>
  <xr:revisionPtr revIDLastSave="0" documentId="13_ncr:1_{5F3071D4-970C-4C86-96C7-8A1141A26544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Dados para Automatizar" sheetId="1" r:id="rId1"/>
    <sheet name="2702" sheetId="52" r:id="rId2"/>
    <sheet name="Planilha3" sheetId="53" r:id="rId3"/>
  </sheets>
  <definedNames>
    <definedName name="_xlnm._FilterDatabase" localSheetId="1" hidden="1">'2702'!$A$1:$F$70</definedName>
    <definedName name="Hrs_extras">SUM(#REF!,#REF!,#REF!,#REF!,#REF!,#REF!,#REF!,#REF!,#REF!,#REF!,#REF!,#REF!)</definedName>
    <definedName name="HrsNormais">SUM(#REF!,#REF!,#REF!,#REF!,#REF!,#REF!,#REF!,#REF!,#REF!,#REF!,#REF!,#REF!)</definedName>
    <definedName name="RegiãoDoTítuloDaLinha1..C6.1">#REF!</definedName>
    <definedName name="RegiãoDoTítuloDaLinha2..G4.1">#REF!</definedName>
    <definedName name="RegiãoDoTítuloDaLinha3..H16.1">#REF!</definedName>
    <definedName name="RegiãoDoTítuloDaLinha4..G17.1">#REF!</definedName>
    <definedName name="RegiãoDoTítuloDaLinha5..H18.1">#REF!</definedName>
    <definedName name="Título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3" l="1"/>
  <c r="E2" i="53" s="1"/>
  <c r="D5" i="53"/>
  <c r="E5" i="53" s="1"/>
  <c r="D1" i="53"/>
  <c r="E1" i="53" s="1"/>
  <c r="D6" i="53"/>
  <c r="E6" i="53" s="1"/>
  <c r="D3" i="53"/>
  <c r="E3" i="53" s="1"/>
  <c r="D4" i="53"/>
  <c r="E4" i="53" s="1"/>
  <c r="C2" i="53"/>
  <c r="C5" i="53"/>
  <c r="C1" i="53"/>
  <c r="C6" i="53"/>
  <c r="C3" i="53"/>
  <c r="C4" i="53"/>
  <c r="F69" i="52"/>
  <c r="F68" i="52"/>
  <c r="F67" i="52"/>
  <c r="F66" i="52"/>
  <c r="F65" i="52"/>
  <c r="F64" i="52"/>
  <c r="F63" i="52"/>
  <c r="F62" i="52"/>
  <c r="F61" i="52"/>
  <c r="F60" i="52"/>
  <c r="F59" i="52"/>
  <c r="F58" i="52"/>
  <c r="F57" i="52"/>
  <c r="F56" i="52"/>
  <c r="F55" i="52"/>
  <c r="F54" i="52"/>
  <c r="F53" i="52"/>
  <c r="F52" i="52"/>
  <c r="F51" i="52"/>
  <c r="F50" i="52"/>
  <c r="F49" i="52"/>
  <c r="F48" i="52"/>
  <c r="F47" i="52"/>
  <c r="F46" i="52"/>
  <c r="F45" i="52"/>
  <c r="F44" i="52"/>
  <c r="F43" i="52"/>
  <c r="F42" i="52"/>
  <c r="F41" i="52"/>
  <c r="F40" i="52"/>
  <c r="F39" i="52"/>
  <c r="F38" i="52"/>
  <c r="F37" i="52"/>
  <c r="F35" i="52"/>
  <c r="F33" i="52"/>
  <c r="F32" i="52"/>
  <c r="F31" i="52"/>
  <c r="F30" i="52"/>
  <c r="F29" i="52"/>
  <c r="F28" i="52"/>
  <c r="F27" i="52"/>
  <c r="F26" i="52"/>
  <c r="F25" i="52"/>
  <c r="F24" i="52"/>
  <c r="F23" i="52"/>
  <c r="F22" i="52"/>
  <c r="F21" i="52"/>
  <c r="F20" i="52"/>
  <c r="F19" i="52"/>
  <c r="F18" i="52"/>
  <c r="F17" i="52"/>
  <c r="F16" i="52"/>
  <c r="F15" i="52"/>
  <c r="F14" i="52"/>
  <c r="F13" i="52"/>
  <c r="F12" i="52"/>
  <c r="F11" i="52"/>
  <c r="F10" i="52"/>
  <c r="F9" i="52"/>
  <c r="F8" i="52"/>
  <c r="F7" i="52"/>
  <c r="F6" i="52"/>
  <c r="F5" i="52"/>
  <c r="F3" i="52"/>
  <c r="F2" i="52"/>
  <c r="F1" i="52"/>
</calcChain>
</file>

<file path=xl/sharedStrings.xml><?xml version="1.0" encoding="utf-8"?>
<sst xmlns="http://schemas.openxmlformats.org/spreadsheetml/2006/main" count="233" uniqueCount="82">
  <si>
    <t>Valor</t>
  </si>
  <si>
    <t>Autorização</t>
  </si>
  <si>
    <t xml:space="preserve">ANTES DE EXECUTAR A APLICAÇÃO NO SISTEMA, COLOCAR A PLANILHA DE FORMA CORRETA, AUTORIZAÇÃO E VALOR!!!! </t>
  </si>
  <si>
    <t>Placa</t>
  </si>
  <si>
    <t>Comb</t>
  </si>
  <si>
    <t>Vol</t>
  </si>
  <si>
    <t>D1</t>
  </si>
  <si>
    <t>SEA9C13</t>
  </si>
  <si>
    <t>GC</t>
  </si>
  <si>
    <t>Data</t>
  </si>
  <si>
    <t>RQK9C65</t>
  </si>
  <si>
    <t>RQK9D44</t>
  </si>
  <si>
    <t>RQG6G87</t>
  </si>
  <si>
    <t>SEA9C48</t>
  </si>
  <si>
    <t>RQF1C57</t>
  </si>
  <si>
    <t>RQK8G25</t>
  </si>
  <si>
    <t>RQB0H22</t>
  </si>
  <si>
    <t>RQD0A88</t>
  </si>
  <si>
    <t>RQF0H17</t>
  </si>
  <si>
    <t>RQI7I03</t>
  </si>
  <si>
    <t>RQJ9A73</t>
  </si>
  <si>
    <t>SEA9C99</t>
  </si>
  <si>
    <t>TVK4C50</t>
  </si>
  <si>
    <t>SEA9C58</t>
  </si>
  <si>
    <t>TSR8H70</t>
  </si>
  <si>
    <t>SGR7H59</t>
  </si>
  <si>
    <t>RQH1H80</t>
  </si>
  <si>
    <t>QGQ1G42</t>
  </si>
  <si>
    <t>RQH7D49</t>
  </si>
  <si>
    <t>RQH4I08</t>
  </si>
  <si>
    <t>RQA5F51</t>
  </si>
  <si>
    <t>RPF4D51</t>
  </si>
  <si>
    <t>RQJ9A83</t>
  </si>
  <si>
    <t>TSP6D30</t>
  </si>
  <si>
    <t>QGL6808</t>
  </si>
  <si>
    <t>RGG8E54</t>
  </si>
  <si>
    <t>RQB9B92</t>
  </si>
  <si>
    <t>RQE2F19</t>
  </si>
  <si>
    <t>QGW5D48</t>
  </si>
  <si>
    <t>SSL2H13</t>
  </si>
  <si>
    <t>RPP9C08</t>
  </si>
  <si>
    <t>RQF0A66</t>
  </si>
  <si>
    <t>RQA0E30</t>
  </si>
  <si>
    <t>OKA7249</t>
  </si>
  <si>
    <t>TST9D90</t>
  </si>
  <si>
    <t>TSW4E28</t>
  </si>
  <si>
    <t>SSJ2C37</t>
  </si>
  <si>
    <t>TSQ3H10</t>
  </si>
  <si>
    <t>JAS4H64</t>
  </si>
  <si>
    <t>QZO9C60</t>
  </si>
  <si>
    <t>OWD2194</t>
  </si>
  <si>
    <t>RQH5J19</t>
  </si>
  <si>
    <t>SEA9D08</t>
  </si>
  <si>
    <t>RQE5C68</t>
  </si>
  <si>
    <t>RQH7D20</t>
  </si>
  <si>
    <t>ELO2F64</t>
  </si>
  <si>
    <t>RPJ4F69</t>
  </si>
  <si>
    <t>TSV0B25</t>
  </si>
  <si>
    <t>RGG2J78</t>
  </si>
  <si>
    <t>QGM7982</t>
  </si>
  <si>
    <t>QGQ1548</t>
  </si>
  <si>
    <t>RGK2I82</t>
  </si>
  <si>
    <t>SSJ0G17</t>
  </si>
  <si>
    <t>SSG3F35</t>
  </si>
  <si>
    <t>SEA8I74</t>
  </si>
  <si>
    <t>SEA9E16</t>
  </si>
  <si>
    <t>TST1H90</t>
  </si>
  <si>
    <t>TCH7A07</t>
  </si>
  <si>
    <t>RQF0I97</t>
  </si>
  <si>
    <t>RPJ4H16</t>
  </si>
  <si>
    <t>SOZ0F03</t>
  </si>
  <si>
    <t>NOD0674</t>
  </si>
  <si>
    <t>DRY2020</t>
  </si>
  <si>
    <t>RQD2D86</t>
  </si>
  <si>
    <t>RQA7I59</t>
  </si>
  <si>
    <t>RQC4E19</t>
  </si>
  <si>
    <t>JOSENILDO RODRIGUES DO NASCIMENTO</t>
  </si>
  <si>
    <t xml:space="preserve">CTF ANTENA </t>
  </si>
  <si>
    <t>AMILTON DO NASCIMENTO OLIVEIRA</t>
  </si>
  <si>
    <t>POS - CTF</t>
  </si>
  <si>
    <t>RANNIERY DOS SANTOS ARAUJO JUNIOR</t>
  </si>
  <si>
    <t>RICARDO ALEXANDRE BARBOSA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</si>
</sst>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[&lt;=9999999]###\-####;\(###\)\ ###\-####"/>
    <numFmt numFmtId="166" formatCode="#,##0.0_ ;\-#,##0.0\ "/>
    <numFmt numFmtId="167" formatCode="_-[$R$-416]\ * #,##0.00_-;\-[$R$-416]\ * #,##0.00_-;_-[$R$-416]\ * &quot;-&quot;??_-;_-@_-"/>
  </numFmts>
  <fonts count="87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2" tint="-0.749961851863155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2" tint="-0.749961851863155"/>
      <name val="Arial"/>
      <family val="2"/>
      <scheme val="minor"/>
    </font>
    <font>
      <sz val="24"/>
      <color theme="9" tint="-0.24994659260841701"/>
      <name val="Arial"/>
      <family val="2"/>
      <scheme val="major"/>
    </font>
    <font>
      <sz val="10"/>
      <color theme="1" tint="0.14996795556505021"/>
      <name val="Arial"/>
      <family val="2"/>
      <scheme val="minor"/>
    </font>
    <font>
      <b/>
      <sz val="12"/>
      <color theme="0"/>
      <name val="Arial"/>
      <family val="2"/>
      <scheme val="major"/>
    </font>
    <font>
      <sz val="9"/>
      <color theme="3" tint="-0.24994659260841701"/>
      <name val="Arial"/>
      <family val="2"/>
      <scheme val="major"/>
    </font>
    <font>
      <sz val="10"/>
      <color theme="3"/>
      <name val="Arial"/>
      <family val="2"/>
      <scheme val="major"/>
    </font>
    <font>
      <sz val="9"/>
      <color theme="5"/>
      <name val="Arial"/>
      <family val="2"/>
      <scheme val="major"/>
    </font>
    <font>
      <b/>
      <sz val="9"/>
      <color theme="5"/>
      <name val="Arial"/>
      <family val="2"/>
      <scheme val="minor"/>
    </font>
    <font>
      <sz val="11"/>
      <color theme="0"/>
      <name val="Arial"/>
      <family val="2"/>
      <scheme val="minor"/>
    </font>
    <font>
      <b/>
      <sz val="30"/>
      <color theme="5"/>
      <name val="Arial"/>
      <family val="2"/>
      <scheme val="major"/>
    </font>
    <font>
      <sz val="10"/>
      <color theme="1"/>
      <name val="Arial"/>
      <family val="1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3" tint="-0.24994659260841701"/>
      </left>
      <right/>
      <top/>
      <bottom style="thick">
        <color theme="3" tint="0.39994506668294322"/>
      </bottom>
      <diagonal/>
    </border>
    <border>
      <left/>
      <right/>
      <top/>
      <bottom style="medium">
        <color theme="5"/>
      </bottom>
      <diagonal/>
    </border>
    <border>
      <left/>
      <right/>
      <top/>
      <bottom style="thick">
        <color theme="3" tint="0.399945066682943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19">
    <xf numFmtId="0" fontId="0" fillId="0" borderId="0"/>
    <xf numFmtId="0" fontId="17" fillId="0" borderId="0"/>
    <xf numFmtId="0" fontId="18" fillId="0" borderId="0"/>
    <xf numFmtId="164" fontId="17" fillId="0" borderId="0" applyFont="0" applyFill="0" applyBorder="0" applyAlignment="0" applyProtection="0"/>
    <xf numFmtId="0" fontId="20" fillId="0" borderId="0"/>
    <xf numFmtId="0" fontId="21" fillId="0" borderId="0"/>
    <xf numFmtId="0" fontId="22" fillId="0" borderId="0"/>
    <xf numFmtId="0" fontId="24" fillId="0" borderId="0">
      <alignment vertical="center" wrapText="1"/>
    </xf>
    <xf numFmtId="0" fontId="25" fillId="0" borderId="0" applyNumberFormat="0" applyFill="0" applyBorder="0" applyProtection="0">
      <alignment wrapText="1"/>
    </xf>
    <xf numFmtId="14" fontId="24" fillId="0" borderId="0" applyFont="0" applyFill="0" applyBorder="0">
      <alignment horizontal="left"/>
    </xf>
    <xf numFmtId="0" fontId="24" fillId="0" borderId="2" applyNumberFormat="0" applyFont="0" applyAlignment="0" applyProtection="0"/>
    <xf numFmtId="44" fontId="23" fillId="0" borderId="0" applyFont="0" applyFill="0" applyBorder="0" applyProtection="0">
      <alignment horizontal="center" vertical="center"/>
    </xf>
    <xf numFmtId="0" fontId="26" fillId="4" borderId="3" applyNumberFormat="0" applyProtection="0">
      <alignment horizontal="left" vertical="center"/>
    </xf>
    <xf numFmtId="2" fontId="24" fillId="0" borderId="0" applyFont="0" applyFill="0" applyBorder="0">
      <alignment horizontal="center" vertical="center"/>
    </xf>
    <xf numFmtId="14" fontId="24" fillId="0" borderId="0" applyFont="0" applyFill="0" applyBorder="0" applyAlignment="0">
      <alignment vertical="center" wrapText="1"/>
    </xf>
    <xf numFmtId="0" fontId="25" fillId="0" borderId="0" applyNumberFormat="0" applyFill="0" applyBorder="0" applyProtection="0">
      <alignment horizontal="left" wrapText="1"/>
    </xf>
    <xf numFmtId="165" fontId="24" fillId="0" borderId="0" applyFont="0" applyFill="0" applyBorder="0">
      <alignment horizontal="left"/>
    </xf>
    <xf numFmtId="0" fontId="27" fillId="0" borderId="0" applyNumberFormat="0" applyFill="0" applyBorder="0" applyProtection="0">
      <alignment wrapText="1"/>
    </xf>
    <xf numFmtId="0" fontId="28" fillId="0" borderId="0" applyNumberFormat="0" applyFill="0" applyBorder="0" applyProtection="0">
      <alignment horizontal="right" vertical="top"/>
    </xf>
    <xf numFmtId="0" fontId="29" fillId="0" borderId="0">
      <alignment wrapText="1"/>
    </xf>
    <xf numFmtId="0" fontId="30" fillId="5" borderId="4" applyNumberFormat="0" applyProtection="0">
      <alignment horizontal="center"/>
    </xf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0" borderId="5" applyNumberFormat="0" applyProtection="0">
      <alignment horizontal="right" vertical="center"/>
    </xf>
    <xf numFmtId="166" fontId="29" fillId="0" borderId="0" applyFont="0" applyFill="0" applyBorder="0" applyAlignment="0" applyProtection="0"/>
    <xf numFmtId="0" fontId="33" fillId="5" borderId="0" applyBorder="0" applyProtection="0"/>
    <xf numFmtId="0" fontId="34" fillId="5" borderId="5"/>
    <xf numFmtId="0" fontId="31" fillId="0" borderId="0" applyFill="0" applyBorder="0"/>
    <xf numFmtId="0" fontId="35" fillId="3" borderId="0" applyNumberFormat="0" applyFont="0" applyBorder="0" applyAlignment="0" applyProtection="0"/>
    <xf numFmtId="0" fontId="36" fillId="5" borderId="6" applyNumberFormat="0" applyAlignment="0" applyProtection="0"/>
    <xf numFmtId="0" fontId="24" fillId="0" borderId="0"/>
    <xf numFmtId="0" fontId="37" fillId="0" borderId="0"/>
    <xf numFmtId="0" fontId="38" fillId="0" borderId="0"/>
    <xf numFmtId="0" fontId="39" fillId="0" borderId="0"/>
    <xf numFmtId="0" fontId="40" fillId="0" borderId="0"/>
    <xf numFmtId="0" fontId="41" fillId="0" borderId="0"/>
    <xf numFmtId="0" fontId="42" fillId="0" borderId="0"/>
    <xf numFmtId="0" fontId="43" fillId="0" borderId="0"/>
    <xf numFmtId="0" fontId="44" fillId="0" borderId="0"/>
    <xf numFmtId="0" fontId="45" fillId="0" borderId="0"/>
    <xf numFmtId="0" fontId="46" fillId="0" borderId="0"/>
    <xf numFmtId="0" fontId="47" fillId="0" borderId="0"/>
    <xf numFmtId="0" fontId="48" fillId="0" borderId="0"/>
    <xf numFmtId="0" fontId="49" fillId="0" borderId="0"/>
    <xf numFmtId="0" fontId="50" fillId="0" borderId="0"/>
    <xf numFmtId="0" fontId="51" fillId="0" borderId="0"/>
    <xf numFmtId="0" fontId="52" fillId="0" borderId="0"/>
    <xf numFmtId="0" fontId="53" fillId="0" borderId="0"/>
    <xf numFmtId="0" fontId="54" fillId="0" borderId="0"/>
    <xf numFmtId="0" fontId="55" fillId="0" borderId="0"/>
    <xf numFmtId="0" fontId="56" fillId="0" borderId="0"/>
    <xf numFmtId="0" fontId="57" fillId="0" borderId="0"/>
    <xf numFmtId="0" fontId="58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68" fillId="0" borderId="0"/>
    <xf numFmtId="0" fontId="16" fillId="0" borderId="0"/>
    <xf numFmtId="0" fontId="15" fillId="0" borderId="0"/>
    <xf numFmtId="0" fontId="69" fillId="0" borderId="0" applyNumberFormat="0" applyFill="0" applyBorder="0" applyAlignment="0" applyProtection="0"/>
    <xf numFmtId="0" fontId="70" fillId="0" borderId="7" applyNumberFormat="0" applyFill="0" applyAlignment="0" applyProtection="0"/>
    <xf numFmtId="0" fontId="71" fillId="0" borderId="8" applyNumberFormat="0" applyFill="0" applyAlignment="0" applyProtection="0"/>
    <xf numFmtId="0" fontId="72" fillId="0" borderId="9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0" applyNumberFormat="0" applyBorder="0" applyAlignment="0" applyProtection="0"/>
    <xf numFmtId="0" fontId="74" fillId="8" borderId="0" applyNumberFormat="0" applyBorder="0" applyAlignment="0" applyProtection="0"/>
    <xf numFmtId="0" fontId="75" fillId="9" borderId="0" applyNumberFormat="0" applyBorder="0" applyAlignment="0" applyProtection="0"/>
    <xf numFmtId="0" fontId="76" fillId="10" borderId="10" applyNumberFormat="0" applyAlignment="0" applyProtection="0"/>
    <xf numFmtId="0" fontId="77" fillId="11" borderId="11" applyNumberFormat="0" applyAlignment="0" applyProtection="0"/>
    <xf numFmtId="0" fontId="78" fillId="11" borderId="10" applyNumberFormat="0" applyAlignment="0" applyProtection="0"/>
    <xf numFmtId="0" fontId="79" fillId="0" borderId="12" applyNumberFormat="0" applyFill="0" applyAlignment="0" applyProtection="0"/>
    <xf numFmtId="0" fontId="80" fillId="12" borderId="13" applyNumberFormat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6" fillId="0" borderId="15" applyNumberFormat="0" applyFill="0" applyAlignment="0" applyProtection="0"/>
    <xf numFmtId="0" fontId="35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3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35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35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29" borderId="0" applyNumberFormat="0" applyBorder="0" applyAlignment="0" applyProtection="0"/>
    <xf numFmtId="0" fontId="35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35" fillId="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0" borderId="0"/>
    <xf numFmtId="0" fontId="14" fillId="13" borderId="14" applyNumberFormat="0" applyFont="0" applyAlignment="0" applyProtection="0"/>
    <xf numFmtId="0" fontId="13" fillId="0" borderId="0"/>
    <xf numFmtId="0" fontId="12" fillId="0" borderId="0"/>
    <xf numFmtId="0" fontId="11" fillId="0" borderId="0"/>
    <xf numFmtId="0" fontId="11" fillId="13" borderId="14" applyNumberFormat="0" applyFont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0" fillId="0" borderId="0"/>
    <xf numFmtId="0" fontId="9" fillId="0" borderId="0"/>
    <xf numFmtId="0" fontId="9" fillId="13" borderId="14" applyNumberFormat="0" applyFont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8" fillId="0" borderId="0"/>
    <xf numFmtId="0" fontId="7" fillId="0" borderId="0"/>
    <xf numFmtId="0" fontId="7" fillId="13" borderId="14" applyNumberFormat="0" applyFont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6" fillId="0" borderId="0"/>
    <xf numFmtId="0" fontId="5" fillId="0" borderId="0"/>
    <xf numFmtId="0" fontId="5" fillId="13" borderId="14" applyNumberFormat="0" applyFont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4" fillId="0" borderId="0"/>
    <xf numFmtId="0" fontId="83" fillId="0" borderId="0"/>
    <xf numFmtId="0" fontId="84" fillId="0" borderId="0"/>
    <xf numFmtId="0" fontId="3" fillId="0" borderId="0"/>
    <xf numFmtId="0" fontId="2" fillId="0" borderId="0"/>
    <xf numFmtId="0" fontId="85" fillId="0" borderId="0"/>
    <xf numFmtId="0" fontId="86" fillId="0" borderId="0"/>
    <xf numFmtId="0" fontId="1" fillId="0" borderId="0"/>
    <xf numFmtId="0" fontId="1" fillId="13" borderId="14" applyNumberFormat="0" applyFont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</cellStyleXfs>
  <cellXfs count="13">
    <xf numFmtId="0" fontId="0" fillId="0" borderId="0" xfId="0"/>
    <xf numFmtId="0" fontId="0" fillId="0" borderId="1" xfId="0" applyBorder="1"/>
    <xf numFmtId="164" fontId="0" fillId="0" borderId="1" xfId="3" applyFont="1" applyBorder="1"/>
    <xf numFmtId="22" fontId="0" fillId="0" borderId="0" xfId="0" applyNumberFormat="1"/>
    <xf numFmtId="4" fontId="0" fillId="0" borderId="0" xfId="0" applyNumberFormat="1"/>
    <xf numFmtId="0" fontId="19" fillId="2" borderId="0" xfId="0" applyFont="1" applyFill="1" applyAlignment="1">
      <alignment horizontal="center" vertical="center" wrapText="1"/>
    </xf>
    <xf numFmtId="167" fontId="0" fillId="0" borderId="0" xfId="0" applyNumberFormat="1"/>
    <xf numFmtId="0" fontId="1" fillId="0" borderId="0" xfId="199"/>
    <xf numFmtId="0" fontId="1" fillId="0" borderId="0" xfId="199"/>
    <xf numFmtId="0" fontId="1" fillId="0" borderId="0" xfId="199"/>
    <xf numFmtId="0" fontId="1" fillId="0" borderId="0" xfId="199"/>
    <xf numFmtId="0" fontId="1" fillId="0" borderId="0" xfId="199"/>
    <xf numFmtId="0" fontId="1" fillId="0" borderId="0" xfId="199"/>
  </cellXfs>
  <cellStyles count="219">
    <cellStyle name="20% - Ênfase1" xfId="82" builtinId="30" customBuiltin="1"/>
    <cellStyle name="20% - Ênfase1 2" xfId="111" xr:uid="{1F3200B0-92B3-4D17-82B8-2E354B54E351}"/>
    <cellStyle name="20% - Ênfase1 3" xfId="132" xr:uid="{08F0A159-40F1-49AD-A33A-9D37094B77E7}"/>
    <cellStyle name="20% - Ênfase1 4" xfId="153" xr:uid="{FD017E0F-1450-42FA-8953-D1A1D270B820}"/>
    <cellStyle name="20% - Ênfase1 5" xfId="174" xr:uid="{5180F269-E20F-408F-B845-A62914D1AAC0}"/>
    <cellStyle name="20% - Ênfase1 6" xfId="201" xr:uid="{2FFD7316-8507-4F05-A432-BCB41A26459D}"/>
    <cellStyle name="20% - Ênfase2" xfId="86" builtinId="34" customBuiltin="1"/>
    <cellStyle name="20% - Ênfase2 2" xfId="114" xr:uid="{E9D1323F-C3D9-4FB6-93B5-560BE28A25EE}"/>
    <cellStyle name="20% - Ênfase2 3" xfId="135" xr:uid="{5BE0D5D8-24C0-445E-ACC7-9C7B1D45143D}"/>
    <cellStyle name="20% - Ênfase2 4" xfId="156" xr:uid="{28AD2CFB-0888-4296-A86E-38E0F264E2FA}"/>
    <cellStyle name="20% - Ênfase2 5" xfId="177" xr:uid="{9E40B266-ED14-406F-8416-52520F3E58F2}"/>
    <cellStyle name="20% - Ênfase2 6" xfId="204" xr:uid="{ACABF9EB-4841-4A5B-B1F9-DDC74691719B}"/>
    <cellStyle name="20% - Ênfase3" xfId="90" builtinId="38" customBuiltin="1"/>
    <cellStyle name="20% - Ênfase3 2" xfId="117" xr:uid="{F07474AD-6567-4009-A98B-8A46A45C640D}"/>
    <cellStyle name="20% - Ênfase3 3" xfId="138" xr:uid="{80A83BDD-1B22-4B48-BB98-C4C7535AF53A}"/>
    <cellStyle name="20% - Ênfase3 4" xfId="159" xr:uid="{BEB5308D-0085-485C-A41C-76408F1113F7}"/>
    <cellStyle name="20% - Ênfase3 5" xfId="180" xr:uid="{09BA2AB3-712C-4690-8445-9226BB195B1A}"/>
    <cellStyle name="20% - Ênfase3 6" xfId="207" xr:uid="{6EEAA398-F714-4A38-BF3F-79ACAA9FCD3A}"/>
    <cellStyle name="20% - Ênfase4" xfId="94" builtinId="42" customBuiltin="1"/>
    <cellStyle name="20% - Ênfase4 2" xfId="120" xr:uid="{649FA63B-EF87-4DCD-BCA9-5A70A170EC13}"/>
    <cellStyle name="20% - Ênfase4 3" xfId="141" xr:uid="{0640F81C-4366-4D98-932B-F24377C3730D}"/>
    <cellStyle name="20% - Ênfase4 4" xfId="162" xr:uid="{A7235281-2094-4B5D-B869-2363C1E3DA63}"/>
    <cellStyle name="20% - Ênfase4 5" xfId="183" xr:uid="{CF5F4A69-C369-43BB-900D-EF47251C6FEF}"/>
    <cellStyle name="20% - Ênfase4 6" xfId="210" xr:uid="{D6207E18-681B-4E97-93CA-B05E647F2BEE}"/>
    <cellStyle name="20% - Ênfase5" xfId="98" builtinId="46" customBuiltin="1"/>
    <cellStyle name="20% - Ênfase5 2" xfId="123" xr:uid="{95514CBB-B964-493A-8D4A-87537C3E42C2}"/>
    <cellStyle name="20% - Ênfase5 3" xfId="144" xr:uid="{6F8C35E8-5807-4AEC-AE4E-088EDE440C92}"/>
    <cellStyle name="20% - Ênfase5 4" xfId="165" xr:uid="{9C022DA9-C003-46F4-BA3E-F7D0F0BCF104}"/>
    <cellStyle name="20% - Ênfase5 5" xfId="186" xr:uid="{66FC0683-4FB0-4146-B1D8-1ABF4AB7C9E8}"/>
    <cellStyle name="20% - Ênfase5 6" xfId="213" xr:uid="{39E05B95-FD85-4537-B68B-A5F3527E4B70}"/>
    <cellStyle name="20% - Ênfase6" xfId="102" builtinId="50" customBuiltin="1"/>
    <cellStyle name="20% - Ênfase6 2" xfId="126" xr:uid="{C39606E0-EE82-4B21-82E8-E552F8B4E53A}"/>
    <cellStyle name="20% - Ênfase6 3" xfId="147" xr:uid="{EB57E7D0-A7A8-4903-AEFD-0DF8F75097A5}"/>
    <cellStyle name="20% - Ênfase6 4" xfId="168" xr:uid="{17CC1515-563A-482B-AE43-7DEE51B144BD}"/>
    <cellStyle name="20% - Ênfase6 5" xfId="189" xr:uid="{C7963219-B9E3-487E-A8B1-A43978830E8C}"/>
    <cellStyle name="20% - Ênfase6 6" xfId="216" xr:uid="{513267A8-8EB3-4824-BC1A-9B0D5AD7D66C}"/>
    <cellStyle name="40% - Ênfase1" xfId="83" builtinId="31" customBuiltin="1"/>
    <cellStyle name="40% - Ênfase1 2" xfId="112" xr:uid="{8D8E63BC-B8E1-4490-8B86-891D4BE90906}"/>
    <cellStyle name="40% - Ênfase1 3" xfId="133" xr:uid="{E17AC485-584A-45C5-BEBF-B3CE521917C4}"/>
    <cellStyle name="40% - Ênfase1 4" xfId="154" xr:uid="{7C0857D6-5704-41C3-A3C6-355F235F0DE0}"/>
    <cellStyle name="40% - Ênfase1 5" xfId="175" xr:uid="{0E0EECCE-AFDC-4D9F-BE47-400AF4CF24A4}"/>
    <cellStyle name="40% - Ênfase1 6" xfId="202" xr:uid="{5EB0B927-CCB9-44CB-B682-C8A6B090FAA1}"/>
    <cellStyle name="40% - Ênfase2" xfId="87" builtinId="35" customBuiltin="1"/>
    <cellStyle name="40% - Ênfase2 2" xfId="115" xr:uid="{53225903-FD58-4937-9F41-B28EEE837CE8}"/>
    <cellStyle name="40% - Ênfase2 3" xfId="136" xr:uid="{1F1F5ACB-6341-4BA3-87D7-7462C8AFF3F4}"/>
    <cellStyle name="40% - Ênfase2 4" xfId="157" xr:uid="{F053E8C1-33B6-40D3-B158-D16782DF2B23}"/>
    <cellStyle name="40% - Ênfase2 5" xfId="178" xr:uid="{CC3F9A8D-C611-4C33-90D3-244BA3E44546}"/>
    <cellStyle name="40% - Ênfase2 6" xfId="205" xr:uid="{F5A2DB5B-4CEB-40F7-A219-2FD548B63B52}"/>
    <cellStyle name="40% - Ênfase3" xfId="91" builtinId="39" customBuiltin="1"/>
    <cellStyle name="40% - Ênfase3 2" xfId="118" xr:uid="{4672043D-3094-4D7A-AD29-C078597C8B87}"/>
    <cellStyle name="40% - Ênfase3 3" xfId="139" xr:uid="{38ABC634-00E9-45B3-8A72-BCA872BC21E9}"/>
    <cellStyle name="40% - Ênfase3 4" xfId="160" xr:uid="{B49426F6-BB94-487C-9F78-057CF04B3476}"/>
    <cellStyle name="40% - Ênfase3 5" xfId="181" xr:uid="{6C884333-7AB9-4B7B-B96F-955602150330}"/>
    <cellStyle name="40% - Ênfase3 6" xfId="208" xr:uid="{C1A6419C-3266-496F-AC8A-9C57BF0DD470}"/>
    <cellStyle name="40% - Ênfase4" xfId="95" builtinId="43" customBuiltin="1"/>
    <cellStyle name="40% - Ênfase4 2" xfId="121" xr:uid="{6142AB44-B15B-4510-A08A-2A19408BE1A6}"/>
    <cellStyle name="40% - Ênfase4 3" xfId="142" xr:uid="{D303B186-E117-4108-864D-A77151DA005E}"/>
    <cellStyle name="40% - Ênfase4 4" xfId="163" xr:uid="{782744FF-10BF-49D6-BB27-06FB670B5903}"/>
    <cellStyle name="40% - Ênfase4 5" xfId="184" xr:uid="{70B268D8-D74C-443E-A7B5-2817E95E5AA5}"/>
    <cellStyle name="40% - Ênfase4 6" xfId="211" xr:uid="{FF4FA7A2-793B-42B8-9500-30E04C40388D}"/>
    <cellStyle name="40% - Ênfase5" xfId="99" builtinId="47" customBuiltin="1"/>
    <cellStyle name="40% - Ênfase5 2" xfId="124" xr:uid="{23F9EF8E-2586-4223-8E13-224DF7B8F1C3}"/>
    <cellStyle name="40% - Ênfase5 3" xfId="145" xr:uid="{930E1161-5908-4757-B30B-2294897E3941}"/>
    <cellStyle name="40% - Ênfase5 4" xfId="166" xr:uid="{1740BF6D-FDB4-4EEE-B56F-7C6FBC42ACD2}"/>
    <cellStyle name="40% - Ênfase5 5" xfId="187" xr:uid="{3AFAFA7A-D465-4684-BA0B-654DA51AC4A3}"/>
    <cellStyle name="40% - Ênfase5 6" xfId="214" xr:uid="{6B4D3D24-4923-452C-8406-B6EDE097BFCD}"/>
    <cellStyle name="40% - Ênfase6" xfId="103" builtinId="51" customBuiltin="1"/>
    <cellStyle name="40% - Ênfase6 2" xfId="127" xr:uid="{DE44BAC9-D6CE-4DF6-9159-5E723BAC4DCF}"/>
    <cellStyle name="40% - Ênfase6 3" xfId="148" xr:uid="{3A2510AE-06BB-455F-AD88-819AE59E1493}"/>
    <cellStyle name="40% - Ênfase6 4" xfId="169" xr:uid="{F3930F1D-EE15-432C-AB8E-14FDDAB4C0E4}"/>
    <cellStyle name="40% - Ênfase6 5" xfId="190" xr:uid="{D29CD1C4-5878-40C9-AE92-599FF6B2C21D}"/>
    <cellStyle name="40% - Ênfase6 6" xfId="217" xr:uid="{F5AF35E3-9016-4AD6-9710-2F4D8491F74B}"/>
    <cellStyle name="60% - Ênfase1" xfId="84" builtinId="32" customBuiltin="1"/>
    <cellStyle name="60% - Ênfase1 2" xfId="113" xr:uid="{B8A26F3E-1208-4420-B44C-5803ABDB3953}"/>
    <cellStyle name="60% - Ênfase1 3" xfId="134" xr:uid="{CCFD5141-00FF-409E-BD58-0A57C7E989D7}"/>
    <cellStyle name="60% - Ênfase1 4" xfId="155" xr:uid="{7E9D5343-35CA-4AA8-9A66-AE120D30E1B7}"/>
    <cellStyle name="60% - Ênfase1 5" xfId="176" xr:uid="{E0D5F06E-0654-4E43-92B3-6BFEBBFB9375}"/>
    <cellStyle name="60% - Ênfase1 6" xfId="203" xr:uid="{920DD25B-6CA3-4E53-9068-F3EA080522E7}"/>
    <cellStyle name="60% - Ênfase2" xfId="88" builtinId="36" customBuiltin="1"/>
    <cellStyle name="60% - Ênfase2 2" xfId="116" xr:uid="{72E6EEF2-F656-474E-98F4-E20450E2D7B7}"/>
    <cellStyle name="60% - Ênfase2 3" xfId="137" xr:uid="{1D1D1DBA-463F-45F0-9304-B12AA2CA97B6}"/>
    <cellStyle name="60% - Ênfase2 4" xfId="158" xr:uid="{2985766B-2C95-4674-A75F-16E39C38A0AD}"/>
    <cellStyle name="60% - Ênfase2 5" xfId="179" xr:uid="{FEFBE811-6A1F-40C9-B361-D9D64DE1FFC5}"/>
    <cellStyle name="60% - Ênfase2 6" xfId="206" xr:uid="{8B3CFEF0-D938-4FB0-B780-917D6D9CB2D4}"/>
    <cellStyle name="60% - Ênfase3" xfId="92" builtinId="40" customBuiltin="1"/>
    <cellStyle name="60% - Ênfase3 2" xfId="119" xr:uid="{2BCA4BF1-E75F-4153-8FD9-E5155AF69284}"/>
    <cellStyle name="60% - Ênfase3 3" xfId="140" xr:uid="{4F233593-7AE0-4FB4-9217-962CD4FA532D}"/>
    <cellStyle name="60% - Ênfase3 4" xfId="161" xr:uid="{642BD1E1-0538-43FA-8911-1CEE6AE9EFAE}"/>
    <cellStyle name="60% - Ênfase3 5" xfId="182" xr:uid="{D929E949-BC21-458F-A667-BCBDDB783C9F}"/>
    <cellStyle name="60% - Ênfase3 6" xfId="209" xr:uid="{BF7D6897-AEDE-49E8-820A-FA6DF4C19A99}"/>
    <cellStyle name="60% - Ênfase4" xfId="96" builtinId="44" customBuiltin="1"/>
    <cellStyle name="60% - Ênfase4 2" xfId="122" xr:uid="{E6B3C338-EFA8-46E4-9A3A-8E7A0BEC7047}"/>
    <cellStyle name="60% - Ênfase4 3" xfId="143" xr:uid="{64F050B0-BD93-4A0D-AC06-38E2C324A363}"/>
    <cellStyle name="60% - Ênfase4 4" xfId="164" xr:uid="{08931758-F20F-423B-A9C6-E0042E81B5D4}"/>
    <cellStyle name="60% - Ênfase4 5" xfId="185" xr:uid="{2BCEA7CE-6F4D-403F-A7AC-0E42C9BB23D6}"/>
    <cellStyle name="60% - Ênfase4 6" xfId="212" xr:uid="{708B55E3-AE98-4DE9-8E05-258EC5381C5B}"/>
    <cellStyle name="60% - Ênfase5" xfId="100" builtinId="48" customBuiltin="1"/>
    <cellStyle name="60% - Ênfase5 2" xfId="125" xr:uid="{0B9003F2-1A73-4B1C-94FB-8939DD14E374}"/>
    <cellStyle name="60% - Ênfase5 3" xfId="146" xr:uid="{3C5D5189-1417-4823-BFC7-EDB290ACBF84}"/>
    <cellStyle name="60% - Ênfase5 4" xfId="167" xr:uid="{219DF65B-0208-448E-B01D-5644BE99086B}"/>
    <cellStyle name="60% - Ênfase5 5" xfId="188" xr:uid="{35A307B7-CAD6-4A00-9C35-DD7B4D5AA1B6}"/>
    <cellStyle name="60% - Ênfase5 6" xfId="215" xr:uid="{1EDF4A12-23EF-44C2-80E6-FCD3ACD97132}"/>
    <cellStyle name="60% - Ênfase6" xfId="104" builtinId="52" customBuiltin="1"/>
    <cellStyle name="60% - Ênfase6 2" xfId="128" xr:uid="{52C039BA-DD79-44B9-90C4-2C4B75E07D3E}"/>
    <cellStyle name="60% - Ênfase6 3" xfId="149" xr:uid="{4B5E0315-5870-4A84-A0FE-27FDAE50028D}"/>
    <cellStyle name="60% - Ênfase6 4" xfId="170" xr:uid="{6F5E4D14-1A70-45A4-850E-37D47E2F46D1}"/>
    <cellStyle name="60% - Ênfase6 5" xfId="191" xr:uid="{C05A4D33-765F-4166-8FAA-A5AD8A15E4FD}"/>
    <cellStyle name="60% - Ênfase6 6" xfId="218" xr:uid="{CE4E7BAE-D917-4669-90DA-EA19BD7DF623}"/>
    <cellStyle name="Bom" xfId="70" builtinId="26" customBuiltin="1"/>
    <cellStyle name="Cálculo" xfId="75" builtinId="22" customBuiltin="1"/>
    <cellStyle name="Célula de Verificação" xfId="77" builtinId="23" customBuiltin="1"/>
    <cellStyle name="Célula Vinculada" xfId="76" builtinId="24" customBuiltin="1"/>
    <cellStyle name="Coluna de tabela 1" xfId="27" xr:uid="{00000000-0005-0000-0000-000000000000}"/>
    <cellStyle name="Data" xfId="14" xr:uid="{00000000-0005-0000-0000-000001000000}"/>
    <cellStyle name="Data de término da semana" xfId="9" xr:uid="{00000000-0005-0000-0000-000002000000}"/>
    <cellStyle name="Ênfase1" xfId="81" builtinId="29" customBuiltin="1"/>
    <cellStyle name="Ênfase2" xfId="85" builtinId="33" customBuiltin="1"/>
    <cellStyle name="Ênfase3" xfId="89" builtinId="37" customBuiltin="1"/>
    <cellStyle name="Ênfase4" xfId="93" builtinId="41" customBuiltin="1"/>
    <cellStyle name="Ênfase5" xfId="97" builtinId="45" customBuiltin="1"/>
    <cellStyle name="Ênfase6" xfId="101" builtinId="49" customBuiltin="1"/>
    <cellStyle name="Ênfase6 2" xfId="28" xr:uid="{00000000-0005-0000-0000-000003000000}"/>
    <cellStyle name="Entrada" xfId="73" builtinId="20" customBuiltin="1"/>
    <cellStyle name="Hiperlink 2" xfId="15" xr:uid="{00000000-0005-0000-0000-000004000000}"/>
    <cellStyle name="Horas" xfId="13" xr:uid="{00000000-0005-0000-0000-000005000000}"/>
    <cellStyle name="InformaçõesFuncionário" xfId="26" xr:uid="{00000000-0005-0000-0000-000006000000}"/>
    <cellStyle name="Moeda" xfId="3" builtinId="4"/>
    <cellStyle name="Moeda 2" xfId="11" xr:uid="{00000000-0005-0000-0000-000008000000}"/>
    <cellStyle name="Neutro" xfId="72" builtinId="28" customBuiltin="1"/>
    <cellStyle name="Normal" xfId="0" builtinId="0"/>
    <cellStyle name="Normal 10" xfId="31" xr:uid="{00000000-0005-0000-0000-00000A000000}"/>
    <cellStyle name="Normal 11" xfId="32" xr:uid="{00000000-0005-0000-0000-00000B000000}"/>
    <cellStyle name="Normal 12" xfId="33" xr:uid="{00000000-0005-0000-0000-00000C000000}"/>
    <cellStyle name="Normal 13" xfId="34" xr:uid="{00000000-0005-0000-0000-00000D000000}"/>
    <cellStyle name="Normal 14" xfId="35" xr:uid="{00000000-0005-0000-0000-00000E000000}"/>
    <cellStyle name="Normal 15" xfId="36" xr:uid="{00000000-0005-0000-0000-00000F000000}"/>
    <cellStyle name="Normal 16" xfId="37" xr:uid="{00000000-0005-0000-0000-000010000000}"/>
    <cellStyle name="Normal 17" xfId="38" xr:uid="{00000000-0005-0000-0000-000011000000}"/>
    <cellStyle name="Normal 18" xfId="39" xr:uid="{00000000-0005-0000-0000-000012000000}"/>
    <cellStyle name="Normal 19" xfId="40" xr:uid="{00000000-0005-0000-0000-000013000000}"/>
    <cellStyle name="Normal 2" xfId="1" xr:uid="{00000000-0005-0000-0000-000014000000}"/>
    <cellStyle name="Normal 20" xfId="41" xr:uid="{00000000-0005-0000-0000-000015000000}"/>
    <cellStyle name="Normal 21" xfId="42" xr:uid="{00000000-0005-0000-0000-000016000000}"/>
    <cellStyle name="Normal 22" xfId="43" xr:uid="{00000000-0005-0000-0000-000017000000}"/>
    <cellStyle name="Normal 23" xfId="44" xr:uid="{00000000-0005-0000-0000-000018000000}"/>
    <cellStyle name="Normal 24" xfId="45" xr:uid="{00000000-0005-0000-0000-000019000000}"/>
    <cellStyle name="Normal 25" xfId="46" xr:uid="{00000000-0005-0000-0000-00001A000000}"/>
    <cellStyle name="Normal 26" xfId="47" xr:uid="{00000000-0005-0000-0000-00001B000000}"/>
    <cellStyle name="Normal 27" xfId="48" xr:uid="{00000000-0005-0000-0000-00001C000000}"/>
    <cellStyle name="Normal 28" xfId="49" xr:uid="{00000000-0005-0000-0000-00001D000000}"/>
    <cellStyle name="Normal 29" xfId="50" xr:uid="{00000000-0005-0000-0000-00001E000000}"/>
    <cellStyle name="Normal 3" xfId="2" xr:uid="{00000000-0005-0000-0000-00001F000000}"/>
    <cellStyle name="Normal 30" xfId="51" xr:uid="{00000000-0005-0000-0000-000020000000}"/>
    <cellStyle name="Normal 31" xfId="52" xr:uid="{00000000-0005-0000-0000-000021000000}"/>
    <cellStyle name="Normal 32" xfId="53" xr:uid="{00000000-0005-0000-0000-000022000000}"/>
    <cellStyle name="Normal 33" xfId="54" xr:uid="{00000000-0005-0000-0000-000023000000}"/>
    <cellStyle name="Normal 34" xfId="55" xr:uid="{00000000-0005-0000-0000-000024000000}"/>
    <cellStyle name="Normal 35" xfId="56" xr:uid="{00000000-0005-0000-0000-000025000000}"/>
    <cellStyle name="Normal 36" xfId="57" xr:uid="{00000000-0005-0000-0000-000026000000}"/>
    <cellStyle name="Normal 37" xfId="58" xr:uid="{00000000-0005-0000-0000-000027000000}"/>
    <cellStyle name="Normal 38" xfId="59" xr:uid="{00000000-0005-0000-0000-000028000000}"/>
    <cellStyle name="Normal 39" xfId="60" xr:uid="{00000000-0005-0000-0000-000029000000}"/>
    <cellStyle name="Normal 4" xfId="4" xr:uid="{00000000-0005-0000-0000-00002A000000}"/>
    <cellStyle name="Normal 40" xfId="61" xr:uid="{00000000-0005-0000-0000-00002B000000}"/>
    <cellStyle name="Normal 41" xfId="62" xr:uid="{CC98E67C-201B-46BD-827A-5ADBEB4D050B}"/>
    <cellStyle name="Normal 42" xfId="63" xr:uid="{FF93517F-5FAC-4025-A33A-0226FADC2064}"/>
    <cellStyle name="Normal 43" xfId="64" xr:uid="{E3838E8D-FAE9-4E2E-8DB7-88777565132B}"/>
    <cellStyle name="Normal 44" xfId="105" xr:uid="{04971432-47D5-4959-8D24-49318D808D77}"/>
    <cellStyle name="Normal 45" xfId="107" xr:uid="{DB686AC5-C3B4-4BC5-B7B5-541E27A3CCE3}"/>
    <cellStyle name="Normal 46" xfId="108" xr:uid="{AE3289BB-2DD2-42A9-BF28-58C89754D539}"/>
    <cellStyle name="Normal 47" xfId="109" xr:uid="{A2F19753-5409-419E-BFBA-573A4005773D}"/>
    <cellStyle name="Normal 48" xfId="129" xr:uid="{B7E716F4-FC46-4DCC-B3EB-4264EA06E5C6}"/>
    <cellStyle name="Normal 49" xfId="130" xr:uid="{105622DF-873F-4FDC-8978-5909FC88B7CA}"/>
    <cellStyle name="Normal 5" xfId="5" xr:uid="{00000000-0005-0000-0000-00002C000000}"/>
    <cellStyle name="Normal 50" xfId="150" xr:uid="{7695A169-B317-497B-B233-681D577F38D7}"/>
    <cellStyle name="Normal 51" xfId="151" xr:uid="{99C7458B-69D6-466F-900F-DE6B96FBC24F}"/>
    <cellStyle name="Normal 52" xfId="171" xr:uid="{152493AF-6B6A-4212-BBCE-A518DED712F7}"/>
    <cellStyle name="Normal 53" xfId="172" xr:uid="{BB2953E3-92B5-43E6-95C8-E63FB5BE5CBB}"/>
    <cellStyle name="Normal 54" xfId="192" xr:uid="{0705E620-E9A9-41DC-8784-9662D692F377}"/>
    <cellStyle name="Normal 55" xfId="193" xr:uid="{8DCD27CB-6949-4BEC-8682-EFBE6612E825}"/>
    <cellStyle name="Normal 56" xfId="194" xr:uid="{4FF6C873-96EC-4D35-BF18-09EB04603A69}"/>
    <cellStyle name="Normal 57" xfId="195" xr:uid="{D92D60F2-C4C6-49E1-8DBE-0744670C8649}"/>
    <cellStyle name="Normal 58" xfId="196" xr:uid="{9DE3DBC1-6850-4C87-B561-6AE80CFABF56}"/>
    <cellStyle name="Normal 59" xfId="197" xr:uid="{E5D05CC9-C4C8-4523-9C47-76B8D55B7EDB}"/>
    <cellStyle name="Normal 6" xfId="6" xr:uid="{00000000-0005-0000-0000-00002D000000}"/>
    <cellStyle name="Normal 60" xfId="198" xr:uid="{D27D595F-CCA2-45FB-9BD0-08F480AFA32D}"/>
    <cellStyle name="Normal 61" xfId="199" xr:uid="{E96704E5-3387-4810-A7D6-02440AB336D9}"/>
    <cellStyle name="Normal 7" xfId="7" xr:uid="{00000000-0005-0000-0000-00002E000000}"/>
    <cellStyle name="Normal 8" xfId="19" xr:uid="{00000000-0005-0000-0000-00002F000000}"/>
    <cellStyle name="Normal 9" xfId="30" xr:uid="{00000000-0005-0000-0000-000030000000}"/>
    <cellStyle name="Nota 2" xfId="10" xr:uid="{00000000-0005-0000-0000-000031000000}"/>
    <cellStyle name="Nota 3" xfId="106" xr:uid="{8A9628BE-8C79-4F34-BA4B-18A238CD730B}"/>
    <cellStyle name="Nota 4" xfId="110" xr:uid="{06BF26CC-FC7A-401F-AA33-9C0D1AC0F98D}"/>
    <cellStyle name="Nota 5" xfId="131" xr:uid="{C71CAB5A-FBF1-4ACE-B78E-C8CE15DEE591}"/>
    <cellStyle name="Nota 6" xfId="152" xr:uid="{5FB1101D-BA45-4444-91C7-77D0A802A5A0}"/>
    <cellStyle name="Nota 7" xfId="173" xr:uid="{C06AE9E1-E00B-42F4-A4C2-67AEB2467242}"/>
    <cellStyle name="Nota 8" xfId="200" xr:uid="{87B8FA21-9826-444D-AE38-DC56BE9A78D6}"/>
    <cellStyle name="RótulosInformaçõesFuncionário" xfId="25" xr:uid="{00000000-0005-0000-0000-000032000000}"/>
    <cellStyle name="Ruim" xfId="71" builtinId="27" customBuiltin="1"/>
    <cellStyle name="Saída" xfId="74" builtinId="21" customBuiltin="1"/>
    <cellStyle name="Telefone" xfId="16" xr:uid="{00000000-0005-0000-0000-000033000000}"/>
    <cellStyle name="Texto de Aviso" xfId="78" builtinId="11" customBuiltin="1"/>
    <cellStyle name="Texto Explicativo" xfId="79" builtinId="53" customBuiltin="1"/>
    <cellStyle name="Título" xfId="65" builtinId="15" customBuiltin="1"/>
    <cellStyle name="Título 1" xfId="66" builtinId="16" customBuiltin="1"/>
    <cellStyle name="Título 1 2" xfId="17" xr:uid="{00000000-0005-0000-0000-000034000000}"/>
    <cellStyle name="Título 1 3" xfId="29" xr:uid="{00000000-0005-0000-0000-000035000000}"/>
    <cellStyle name="Título 2" xfId="67" builtinId="17" customBuiltin="1"/>
    <cellStyle name="Título 2 2" xfId="8" xr:uid="{00000000-0005-0000-0000-000036000000}"/>
    <cellStyle name="Título 2 3" xfId="20" xr:uid="{00000000-0005-0000-0000-000037000000}"/>
    <cellStyle name="Título 3" xfId="68" builtinId="18" customBuiltin="1"/>
    <cellStyle name="Título 3 2" xfId="23" xr:uid="{00000000-0005-0000-0000-000038000000}"/>
    <cellStyle name="Título 4" xfId="69" builtinId="19" customBuiltin="1"/>
    <cellStyle name="Título 4 2" xfId="22" xr:uid="{00000000-0005-0000-0000-000039000000}"/>
    <cellStyle name="Título 5" xfId="18" xr:uid="{00000000-0005-0000-0000-00003A000000}"/>
    <cellStyle name="Totais mensais" xfId="21" xr:uid="{00000000-0005-0000-0000-00003B000000}"/>
    <cellStyle name="Total" xfId="80" builtinId="25" customBuiltin="1"/>
    <cellStyle name="Total 2" xfId="12" xr:uid="{00000000-0005-0000-0000-00003C000000}"/>
    <cellStyle name="Vírgula 2" xfId="24" xr:uid="{00000000-0005-0000-0000-00003D000000}"/>
  </cellStyles>
  <dxfs count="11"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3"/>
      </font>
    </dxf>
    <dxf>
      <border>
        <top style="medium">
          <color theme="5"/>
        </top>
      </border>
    </dxf>
    <dxf>
      <font>
        <b/>
        <i val="0"/>
        <color theme="3"/>
      </font>
      <fill>
        <patternFill>
          <bgColor theme="0"/>
        </patternFill>
      </fill>
      <border>
        <bottom style="medium">
          <color theme="5"/>
        </bottom>
      </border>
    </dxf>
    <dxf>
      <font>
        <color theme="3"/>
      </font>
      <fill>
        <patternFill patternType="none">
          <bgColor auto="1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color theme="1"/>
      </font>
    </dxf>
    <dxf>
      <font>
        <b/>
        <i val="0"/>
        <color theme="1"/>
      </font>
      <fill>
        <patternFill>
          <bgColor theme="9" tint="0.39994506668294322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/>
      </border>
    </dxf>
    <dxf>
      <font>
        <b/>
        <i val="0"/>
        <color theme="0"/>
      </font>
      <fill>
        <patternFill patternType="solid">
          <fgColor theme="9"/>
          <bgColor theme="9" tint="-0.499984740745262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/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</dxfs>
  <tableStyles count="2" defaultTableStyle="TableStyleMedium2" defaultPivotStyle="PivotStyleLight16">
    <tableStyle name="Cartão de Ponto" pivot="0" count="5" xr9:uid="{00000000-0011-0000-FFFF-FFFF00000000}">
      <tableStyleElement type="wholeTable" dxfId="10"/>
      <tableStyleElement type="headerRow" dxfId="9"/>
      <tableStyleElement type="totalRow" dxfId="8"/>
      <tableStyleElement type="firstColumn" dxfId="7"/>
      <tableStyleElement type="firstRowStripe" dxfId="6"/>
    </tableStyle>
    <tableStyle name="TimeSheet" pivot="0" count="6" xr9:uid="{00000000-0011-0000-FFFF-FFFF01000000}">
      <tableStyleElement type="wholeTable" dxfId="5"/>
      <tableStyleElement type="headerRow" dxfId="4"/>
      <tableStyleElement type="totalRow" dxfId="3"/>
      <tableStyleElement type="firstColumn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showGridLines="0" topLeftCell="A13" zoomScale="40" zoomScaleNormal="40" workbookViewId="0">
      <selection activeCell="L76" sqref="L76"/>
    </sheetView>
  </sheetViews>
  <sheetFormatPr defaultColWidth="11.5703125" defaultRowHeight="12.75" x14ac:dyDescent="0.2"/>
  <cols>
    <col min="1" max="1" width="17.5703125" bestFit="1" customWidth="1"/>
    <col min="2" max="2" width="14.85546875" bestFit="1" customWidth="1"/>
  </cols>
  <sheetData>
    <row r="1" spans="1:12" ht="12.75" customHeight="1" x14ac:dyDescent="0.2">
      <c r="A1" s="1" t="s">
        <v>1</v>
      </c>
      <c r="B1" s="2" t="s">
        <v>0</v>
      </c>
      <c r="E1" s="5" t="s">
        <v>2</v>
      </c>
      <c r="F1" s="5"/>
      <c r="G1" s="5"/>
      <c r="H1" s="5"/>
      <c r="I1" s="5"/>
      <c r="J1" s="5"/>
      <c r="K1" s="5"/>
      <c r="L1" s="5"/>
    </row>
    <row r="2" spans="1:12" ht="12.75" customHeight="1" x14ac:dyDescent="0.2">
      <c r="A2" t="s">
        <v>27</v>
      </c>
      <c r="B2">
        <v>264.7</v>
      </c>
      <c r="E2" s="5"/>
      <c r="F2" s="5"/>
      <c r="G2" s="5"/>
      <c r="H2" s="5"/>
      <c r="I2" s="5"/>
      <c r="J2" s="5"/>
      <c r="K2" s="5"/>
      <c r="L2" s="5"/>
    </row>
    <row r="3" spans="1:12" ht="12.75" customHeight="1" x14ac:dyDescent="0.2">
      <c r="A3" t="s">
        <v>28</v>
      </c>
      <c r="B3">
        <v>289.02</v>
      </c>
      <c r="E3" s="5"/>
      <c r="F3" s="5"/>
      <c r="G3" s="5"/>
      <c r="H3" s="5"/>
      <c r="I3" s="5"/>
      <c r="J3" s="5"/>
      <c r="K3" s="5"/>
      <c r="L3" s="5"/>
    </row>
    <row r="4" spans="1:12" ht="12.75" customHeight="1" x14ac:dyDescent="0.2">
      <c r="A4" t="s">
        <v>29</v>
      </c>
      <c r="B4">
        <v>266.49</v>
      </c>
      <c r="E4" s="5"/>
      <c r="F4" s="5"/>
      <c r="G4" s="5"/>
      <c r="H4" s="5"/>
      <c r="I4" s="5"/>
      <c r="J4" s="5"/>
      <c r="K4" s="5"/>
      <c r="L4" s="5"/>
    </row>
    <row r="5" spans="1:12" ht="12.75" customHeight="1" x14ac:dyDescent="0.2">
      <c r="A5" t="s">
        <v>30</v>
      </c>
      <c r="B5">
        <v>212.35</v>
      </c>
      <c r="E5" s="5"/>
      <c r="F5" s="5"/>
      <c r="G5" s="5"/>
      <c r="H5" s="5"/>
      <c r="I5" s="5"/>
      <c r="J5" s="5"/>
      <c r="K5" s="5"/>
      <c r="L5" s="5"/>
    </row>
    <row r="6" spans="1:12" x14ac:dyDescent="0.2">
      <c r="A6" t="s">
        <v>31</v>
      </c>
      <c r="B6">
        <v>261.39</v>
      </c>
    </row>
    <row r="7" spans="1:12" x14ac:dyDescent="0.2">
      <c r="A7" t="s">
        <v>7</v>
      </c>
      <c r="B7">
        <v>179.17</v>
      </c>
    </row>
    <row r="8" spans="1:12" x14ac:dyDescent="0.2">
      <c r="A8" t="s">
        <v>32</v>
      </c>
      <c r="B8">
        <v>278.70999999999998</v>
      </c>
    </row>
    <row r="9" spans="1:12" x14ac:dyDescent="0.2">
      <c r="A9" t="s">
        <v>33</v>
      </c>
      <c r="B9">
        <v>284.49</v>
      </c>
    </row>
    <row r="10" spans="1:12" x14ac:dyDescent="0.2">
      <c r="A10" t="s">
        <v>25</v>
      </c>
      <c r="B10">
        <v>70.28</v>
      </c>
    </row>
    <row r="11" spans="1:12" x14ac:dyDescent="0.2">
      <c r="A11" t="s">
        <v>34</v>
      </c>
      <c r="B11">
        <v>265.44</v>
      </c>
    </row>
    <row r="12" spans="1:12" x14ac:dyDescent="0.2">
      <c r="A12" t="s">
        <v>35</v>
      </c>
      <c r="B12">
        <v>138.51</v>
      </c>
    </row>
    <row r="13" spans="1:12" x14ac:dyDescent="0.2">
      <c r="A13" t="s">
        <v>10</v>
      </c>
      <c r="B13">
        <v>154.82</v>
      </c>
    </row>
    <row r="14" spans="1:12" x14ac:dyDescent="0.2">
      <c r="A14" t="s">
        <v>36</v>
      </c>
      <c r="B14">
        <v>199.15</v>
      </c>
    </row>
    <row r="15" spans="1:12" x14ac:dyDescent="0.2">
      <c r="A15" t="s">
        <v>37</v>
      </c>
      <c r="B15">
        <v>199.08</v>
      </c>
    </row>
    <row r="16" spans="1:12" x14ac:dyDescent="0.2">
      <c r="A16" t="s">
        <v>13</v>
      </c>
      <c r="B16">
        <v>112.94</v>
      </c>
    </row>
    <row r="17" spans="1:2" x14ac:dyDescent="0.2">
      <c r="A17" t="s">
        <v>38</v>
      </c>
      <c r="B17">
        <v>310.60000000000002</v>
      </c>
    </row>
    <row r="18" spans="1:2" x14ac:dyDescent="0.2">
      <c r="A18" t="s">
        <v>39</v>
      </c>
      <c r="B18">
        <v>203.33</v>
      </c>
    </row>
    <row r="19" spans="1:2" x14ac:dyDescent="0.2">
      <c r="A19" t="s">
        <v>14</v>
      </c>
      <c r="B19">
        <v>179.17</v>
      </c>
    </row>
    <row r="20" spans="1:2" x14ac:dyDescent="0.2">
      <c r="A20" t="s">
        <v>40</v>
      </c>
      <c r="B20">
        <v>179.17</v>
      </c>
    </row>
    <row r="21" spans="1:2" x14ac:dyDescent="0.2">
      <c r="A21" t="s">
        <v>12</v>
      </c>
      <c r="B21">
        <v>185.81</v>
      </c>
    </row>
    <row r="22" spans="1:2" x14ac:dyDescent="0.2">
      <c r="A22" t="s">
        <v>23</v>
      </c>
      <c r="B22">
        <v>176.32</v>
      </c>
    </row>
    <row r="23" spans="1:2" x14ac:dyDescent="0.2">
      <c r="A23" t="s">
        <v>41</v>
      </c>
      <c r="B23">
        <v>179.24</v>
      </c>
    </row>
    <row r="24" spans="1:2" x14ac:dyDescent="0.2">
      <c r="A24" t="s">
        <v>15</v>
      </c>
      <c r="B24">
        <v>144.93</v>
      </c>
    </row>
    <row r="25" spans="1:2" x14ac:dyDescent="0.2">
      <c r="A25" t="s">
        <v>20</v>
      </c>
      <c r="B25">
        <v>145.99</v>
      </c>
    </row>
    <row r="26" spans="1:2" x14ac:dyDescent="0.2">
      <c r="A26" t="s">
        <v>42</v>
      </c>
      <c r="B26">
        <v>113.61</v>
      </c>
    </row>
    <row r="27" spans="1:2" x14ac:dyDescent="0.2">
      <c r="A27" t="s">
        <v>43</v>
      </c>
      <c r="B27">
        <v>202.53</v>
      </c>
    </row>
    <row r="28" spans="1:2" x14ac:dyDescent="0.2">
      <c r="A28" t="s">
        <v>44</v>
      </c>
      <c r="B28">
        <v>280.27999999999997</v>
      </c>
    </row>
    <row r="29" spans="1:2" x14ac:dyDescent="0.2">
      <c r="A29" t="s">
        <v>45</v>
      </c>
      <c r="B29">
        <v>275.43</v>
      </c>
    </row>
    <row r="30" spans="1:2" x14ac:dyDescent="0.2">
      <c r="A30" t="s">
        <v>46</v>
      </c>
      <c r="B30">
        <v>236.94</v>
      </c>
    </row>
    <row r="31" spans="1:2" x14ac:dyDescent="0.2">
      <c r="A31" t="s">
        <v>47</v>
      </c>
      <c r="B31">
        <v>234.77</v>
      </c>
    </row>
    <row r="32" spans="1:2" x14ac:dyDescent="0.2">
      <c r="A32" t="s">
        <v>48</v>
      </c>
      <c r="B32">
        <v>288.51</v>
      </c>
    </row>
    <row r="33" spans="1:2" x14ac:dyDescent="0.2">
      <c r="A33" t="s">
        <v>49</v>
      </c>
      <c r="B33">
        <v>236.17</v>
      </c>
    </row>
    <row r="34" spans="1:2" x14ac:dyDescent="0.2">
      <c r="A34" t="s">
        <v>50</v>
      </c>
      <c r="B34">
        <v>14.6</v>
      </c>
    </row>
    <row r="35" spans="1:2" x14ac:dyDescent="0.2">
      <c r="A35" t="s">
        <v>51</v>
      </c>
      <c r="B35">
        <v>248.49</v>
      </c>
    </row>
    <row r="36" spans="1:2" x14ac:dyDescent="0.2">
      <c r="A36" t="s">
        <v>50</v>
      </c>
      <c r="B36">
        <v>232.26</v>
      </c>
    </row>
    <row r="37" spans="1:2" x14ac:dyDescent="0.2">
      <c r="A37" t="s">
        <v>17</v>
      </c>
      <c r="B37">
        <v>153.44999999999999</v>
      </c>
    </row>
    <row r="38" spans="1:2" x14ac:dyDescent="0.2">
      <c r="A38" t="s">
        <v>19</v>
      </c>
      <c r="B38">
        <v>93.7</v>
      </c>
    </row>
    <row r="39" spans="1:2" x14ac:dyDescent="0.2">
      <c r="A39" t="s">
        <v>52</v>
      </c>
      <c r="B39">
        <v>156.54</v>
      </c>
    </row>
    <row r="40" spans="1:2" x14ac:dyDescent="0.2">
      <c r="A40" t="s">
        <v>22</v>
      </c>
      <c r="B40">
        <v>210.7</v>
      </c>
    </row>
    <row r="41" spans="1:2" x14ac:dyDescent="0.2">
      <c r="A41" t="s">
        <v>53</v>
      </c>
      <c r="B41">
        <v>165.9</v>
      </c>
    </row>
    <row r="42" spans="1:2" x14ac:dyDescent="0.2">
      <c r="A42" t="s">
        <v>54</v>
      </c>
      <c r="B42">
        <v>286.14999999999998</v>
      </c>
    </row>
    <row r="43" spans="1:2" x14ac:dyDescent="0.2">
      <c r="A43" t="s">
        <v>55</v>
      </c>
      <c r="B43" s="4">
        <v>4920.3</v>
      </c>
    </row>
    <row r="44" spans="1:2" x14ac:dyDescent="0.2">
      <c r="A44" t="s">
        <v>56</v>
      </c>
      <c r="B44">
        <v>86.27</v>
      </c>
    </row>
    <row r="45" spans="1:2" x14ac:dyDescent="0.2">
      <c r="A45" t="s">
        <v>57</v>
      </c>
      <c r="B45">
        <v>197.23</v>
      </c>
    </row>
    <row r="46" spans="1:2" x14ac:dyDescent="0.2">
      <c r="A46" t="s">
        <v>58</v>
      </c>
      <c r="B46">
        <v>266.04000000000002</v>
      </c>
    </row>
    <row r="47" spans="1:2" x14ac:dyDescent="0.2">
      <c r="A47" t="s">
        <v>11</v>
      </c>
      <c r="B47">
        <v>132.72</v>
      </c>
    </row>
    <row r="48" spans="1:2" x14ac:dyDescent="0.2">
      <c r="A48" t="s">
        <v>59</v>
      </c>
      <c r="B48">
        <v>215.8</v>
      </c>
    </row>
    <row r="49" spans="1:2" x14ac:dyDescent="0.2">
      <c r="A49" t="s">
        <v>60</v>
      </c>
      <c r="B49">
        <v>179.17</v>
      </c>
    </row>
    <row r="50" spans="1:2" x14ac:dyDescent="0.2">
      <c r="A50" t="s">
        <v>18</v>
      </c>
      <c r="B50">
        <v>232.26</v>
      </c>
    </row>
    <row r="51" spans="1:2" x14ac:dyDescent="0.2">
      <c r="A51" t="s">
        <v>61</v>
      </c>
      <c r="B51">
        <v>179.17</v>
      </c>
    </row>
    <row r="52" spans="1:2" x14ac:dyDescent="0.2">
      <c r="A52" t="s">
        <v>62</v>
      </c>
      <c r="B52">
        <v>160.15</v>
      </c>
    </row>
    <row r="53" spans="1:2" x14ac:dyDescent="0.2">
      <c r="A53" t="s">
        <v>63</v>
      </c>
      <c r="B53">
        <v>262.60000000000002</v>
      </c>
    </row>
    <row r="54" spans="1:2" x14ac:dyDescent="0.2">
      <c r="A54" t="s">
        <v>64</v>
      </c>
      <c r="B54">
        <v>178.44</v>
      </c>
    </row>
    <row r="55" spans="1:2" x14ac:dyDescent="0.2">
      <c r="A55" t="s">
        <v>21</v>
      </c>
      <c r="B55">
        <v>159.26</v>
      </c>
    </row>
    <row r="56" spans="1:2" x14ac:dyDescent="0.2">
      <c r="A56" t="s">
        <v>24</v>
      </c>
      <c r="B56">
        <v>166.02</v>
      </c>
    </row>
    <row r="57" spans="1:2" x14ac:dyDescent="0.2">
      <c r="A57" t="s">
        <v>65</v>
      </c>
      <c r="B57">
        <v>141.88</v>
      </c>
    </row>
    <row r="58" spans="1:2" x14ac:dyDescent="0.2">
      <c r="A58" t="s">
        <v>66</v>
      </c>
      <c r="B58">
        <v>201.93</v>
      </c>
    </row>
    <row r="59" spans="1:2" x14ac:dyDescent="0.2">
      <c r="A59" t="s">
        <v>67</v>
      </c>
      <c r="B59">
        <v>288.58</v>
      </c>
    </row>
    <row r="60" spans="1:2" x14ac:dyDescent="0.2">
      <c r="A60" t="s">
        <v>68</v>
      </c>
      <c r="B60">
        <v>232.26</v>
      </c>
    </row>
    <row r="61" spans="1:2" x14ac:dyDescent="0.2">
      <c r="A61" t="s">
        <v>69</v>
      </c>
      <c r="B61">
        <v>79.63</v>
      </c>
    </row>
    <row r="62" spans="1:2" x14ac:dyDescent="0.2">
      <c r="A62" t="s">
        <v>70</v>
      </c>
      <c r="B62">
        <v>279.45</v>
      </c>
    </row>
    <row r="63" spans="1:2" x14ac:dyDescent="0.2">
      <c r="A63" t="s">
        <v>71</v>
      </c>
      <c r="B63">
        <v>204.26</v>
      </c>
    </row>
    <row r="64" spans="1:2" x14ac:dyDescent="0.2">
      <c r="A64" t="s">
        <v>16</v>
      </c>
      <c r="B64">
        <v>144.4</v>
      </c>
    </row>
    <row r="65" spans="1:2" x14ac:dyDescent="0.2">
      <c r="A65" t="s">
        <v>72</v>
      </c>
      <c r="B65">
        <v>170.68</v>
      </c>
    </row>
    <row r="66" spans="1:2" x14ac:dyDescent="0.2">
      <c r="A66" t="s">
        <v>26</v>
      </c>
      <c r="B66">
        <v>149.77000000000001</v>
      </c>
    </row>
    <row r="67" spans="1:2" x14ac:dyDescent="0.2">
      <c r="A67" t="s">
        <v>73</v>
      </c>
      <c r="B67">
        <v>179.17</v>
      </c>
    </row>
    <row r="68" spans="1:2" x14ac:dyDescent="0.2">
      <c r="A68" t="s">
        <v>74</v>
      </c>
      <c r="B68">
        <v>241.35</v>
      </c>
    </row>
    <row r="69" spans="1:2" x14ac:dyDescent="0.2">
      <c r="A69" t="s">
        <v>75</v>
      </c>
      <c r="B69">
        <v>364.92</v>
      </c>
    </row>
    <row r="70" spans="1:2" x14ac:dyDescent="0.2">
      <c r="A70" t="s">
        <v>29</v>
      </c>
      <c r="B70">
        <v>33.19</v>
      </c>
    </row>
  </sheetData>
  <mergeCells count="1">
    <mergeCell ref="E1:L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000C-1746-4E7A-A2F5-05B89EF61CEC}">
  <dimension ref="A1:F70"/>
  <sheetViews>
    <sheetView topLeftCell="A46" workbookViewId="0">
      <selection activeCell="B2" sqref="A2:B70"/>
    </sheetView>
  </sheetViews>
  <sheetFormatPr defaultRowHeight="12.75" x14ac:dyDescent="0.2"/>
  <sheetData>
    <row r="1" spans="1:6" x14ac:dyDescent="0.2">
      <c r="A1" t="s">
        <v>3</v>
      </c>
      <c r="B1" t="s">
        <v>0</v>
      </c>
      <c r="C1" t="s">
        <v>4</v>
      </c>
      <c r="D1" t="s">
        <v>5</v>
      </c>
      <c r="E1" t="s">
        <v>9</v>
      </c>
      <c r="F1">
        <f>COUNTIF(A:A,A1)</f>
        <v>1</v>
      </c>
    </row>
    <row r="2" spans="1:6" x14ac:dyDescent="0.2">
      <c r="A2" t="s">
        <v>27</v>
      </c>
      <c r="B2">
        <v>264.7</v>
      </c>
      <c r="C2" t="s">
        <v>6</v>
      </c>
      <c r="D2">
        <v>41.47</v>
      </c>
      <c r="E2" s="3">
        <v>46080.00277777778</v>
      </c>
      <c r="F2">
        <f t="shared" ref="F2:F65" si="0">COUNTIF(A:A,A2)</f>
        <v>1</v>
      </c>
    </row>
    <row r="3" spans="1:6" x14ac:dyDescent="0.2">
      <c r="A3" t="s">
        <v>28</v>
      </c>
      <c r="B3">
        <v>289.02</v>
      </c>
      <c r="C3" t="s">
        <v>6</v>
      </c>
      <c r="D3">
        <v>45.28</v>
      </c>
      <c r="E3" s="3">
        <v>46080.184027777781</v>
      </c>
      <c r="F3">
        <f t="shared" si="0"/>
        <v>1</v>
      </c>
    </row>
    <row r="4" spans="1:6" x14ac:dyDescent="0.2">
      <c r="A4" t="s">
        <v>29</v>
      </c>
      <c r="B4">
        <v>266.49</v>
      </c>
      <c r="C4" t="s">
        <v>6</v>
      </c>
      <c r="D4">
        <v>41.75</v>
      </c>
      <c r="E4" s="3">
        <v>46080.185416666667</v>
      </c>
      <c r="F4">
        <v>1</v>
      </c>
    </row>
    <row r="5" spans="1:6" x14ac:dyDescent="0.2">
      <c r="A5" t="s">
        <v>30</v>
      </c>
      <c r="B5">
        <v>212.35</v>
      </c>
      <c r="C5" t="s">
        <v>8</v>
      </c>
      <c r="D5">
        <v>32</v>
      </c>
      <c r="E5" s="3">
        <v>46080.308333333334</v>
      </c>
      <c r="F5">
        <f t="shared" si="0"/>
        <v>1</v>
      </c>
    </row>
    <row r="6" spans="1:6" x14ac:dyDescent="0.2">
      <c r="A6" t="s">
        <v>31</v>
      </c>
      <c r="B6">
        <v>261.39</v>
      </c>
      <c r="C6" t="s">
        <v>8</v>
      </c>
      <c r="D6">
        <v>39.39</v>
      </c>
      <c r="E6" s="3">
        <v>46080.310416666667</v>
      </c>
      <c r="F6">
        <f t="shared" si="0"/>
        <v>1</v>
      </c>
    </row>
    <row r="7" spans="1:6" x14ac:dyDescent="0.2">
      <c r="A7" t="s">
        <v>7</v>
      </c>
      <c r="B7">
        <v>179.17</v>
      </c>
      <c r="C7" t="s">
        <v>8</v>
      </c>
      <c r="D7">
        <v>27</v>
      </c>
      <c r="E7" s="3">
        <v>46080.313194444447</v>
      </c>
      <c r="F7">
        <f t="shared" si="0"/>
        <v>1</v>
      </c>
    </row>
    <row r="8" spans="1:6" x14ac:dyDescent="0.2">
      <c r="A8" t="s">
        <v>32</v>
      </c>
      <c r="B8">
        <v>278.70999999999998</v>
      </c>
      <c r="C8" t="s">
        <v>8</v>
      </c>
      <c r="D8">
        <v>42</v>
      </c>
      <c r="E8" s="3">
        <v>46080.318749999999</v>
      </c>
      <c r="F8">
        <f t="shared" si="0"/>
        <v>1</v>
      </c>
    </row>
    <row r="9" spans="1:6" x14ac:dyDescent="0.2">
      <c r="A9" t="s">
        <v>33</v>
      </c>
      <c r="B9">
        <v>284.49</v>
      </c>
      <c r="C9" t="s">
        <v>6</v>
      </c>
      <c r="D9">
        <v>44.57</v>
      </c>
      <c r="E9" s="3">
        <v>46080.326388888891</v>
      </c>
      <c r="F9">
        <f t="shared" si="0"/>
        <v>1</v>
      </c>
    </row>
    <row r="10" spans="1:6" x14ac:dyDescent="0.2">
      <c r="A10" t="s">
        <v>25</v>
      </c>
      <c r="B10">
        <v>70.28</v>
      </c>
      <c r="C10" t="s">
        <v>6</v>
      </c>
      <c r="D10">
        <v>11.01</v>
      </c>
      <c r="E10" s="3">
        <v>46080.331250000003</v>
      </c>
      <c r="F10">
        <f t="shared" si="0"/>
        <v>1</v>
      </c>
    </row>
    <row r="11" spans="1:6" x14ac:dyDescent="0.2">
      <c r="A11" t="s">
        <v>34</v>
      </c>
      <c r="B11">
        <v>265.44</v>
      </c>
      <c r="C11" t="s">
        <v>8</v>
      </c>
      <c r="D11">
        <v>40</v>
      </c>
      <c r="E11" s="3">
        <v>46080.345833333333</v>
      </c>
      <c r="F11">
        <f t="shared" si="0"/>
        <v>1</v>
      </c>
    </row>
    <row r="12" spans="1:6" x14ac:dyDescent="0.2">
      <c r="A12" t="s">
        <v>35</v>
      </c>
      <c r="B12">
        <v>138.51</v>
      </c>
      <c r="C12" t="s">
        <v>6</v>
      </c>
      <c r="D12">
        <v>21.7</v>
      </c>
      <c r="E12" s="3">
        <v>46080.359722222223</v>
      </c>
      <c r="F12">
        <f t="shared" si="0"/>
        <v>1</v>
      </c>
    </row>
    <row r="13" spans="1:6" x14ac:dyDescent="0.2">
      <c r="A13" t="s">
        <v>10</v>
      </c>
      <c r="B13">
        <v>154.82</v>
      </c>
      <c r="C13" t="s">
        <v>8</v>
      </c>
      <c r="D13">
        <v>23.33</v>
      </c>
      <c r="E13" s="3">
        <v>46080.362500000003</v>
      </c>
      <c r="F13">
        <f t="shared" si="0"/>
        <v>1</v>
      </c>
    </row>
    <row r="14" spans="1:6" x14ac:dyDescent="0.2">
      <c r="A14" t="s">
        <v>36</v>
      </c>
      <c r="B14">
        <v>199.15</v>
      </c>
      <c r="C14" t="s">
        <v>8</v>
      </c>
      <c r="D14">
        <v>30.01</v>
      </c>
      <c r="E14" s="3">
        <v>46080.365277777775</v>
      </c>
      <c r="F14">
        <f t="shared" si="0"/>
        <v>1</v>
      </c>
    </row>
    <row r="15" spans="1:6" x14ac:dyDescent="0.2">
      <c r="A15" t="s">
        <v>37</v>
      </c>
      <c r="B15">
        <v>199.08</v>
      </c>
      <c r="C15" t="s">
        <v>8</v>
      </c>
      <c r="D15">
        <v>30</v>
      </c>
      <c r="E15" s="3">
        <v>46080.372916666667</v>
      </c>
      <c r="F15">
        <f t="shared" si="0"/>
        <v>1</v>
      </c>
    </row>
    <row r="16" spans="1:6" x14ac:dyDescent="0.2">
      <c r="A16" t="s">
        <v>13</v>
      </c>
      <c r="B16">
        <v>112.94</v>
      </c>
      <c r="C16" t="s">
        <v>8</v>
      </c>
      <c r="D16">
        <v>17.02</v>
      </c>
      <c r="E16" s="3">
        <v>46080.393750000003</v>
      </c>
      <c r="F16">
        <f t="shared" si="0"/>
        <v>1</v>
      </c>
    </row>
    <row r="17" spans="1:6" x14ac:dyDescent="0.2">
      <c r="A17" t="s">
        <v>38</v>
      </c>
      <c r="B17">
        <v>310.60000000000002</v>
      </c>
      <c r="C17" t="s">
        <v>6</v>
      </c>
      <c r="D17">
        <v>48.66</v>
      </c>
      <c r="E17" s="3">
        <v>46080.393750000003</v>
      </c>
      <c r="F17">
        <f t="shared" si="0"/>
        <v>1</v>
      </c>
    </row>
    <row r="18" spans="1:6" x14ac:dyDescent="0.2">
      <c r="A18" t="s">
        <v>39</v>
      </c>
      <c r="B18">
        <v>203.33</v>
      </c>
      <c r="C18" t="s">
        <v>8</v>
      </c>
      <c r="D18">
        <v>30.64</v>
      </c>
      <c r="E18" s="3">
        <v>46080.396527777775</v>
      </c>
      <c r="F18">
        <f t="shared" si="0"/>
        <v>1</v>
      </c>
    </row>
    <row r="19" spans="1:6" x14ac:dyDescent="0.2">
      <c r="A19" t="s">
        <v>14</v>
      </c>
      <c r="B19">
        <v>179.17</v>
      </c>
      <c r="C19" t="s">
        <v>8</v>
      </c>
      <c r="D19">
        <v>27</v>
      </c>
      <c r="E19" s="3">
        <v>46080.398611111108</v>
      </c>
      <c r="F19">
        <f t="shared" si="0"/>
        <v>1</v>
      </c>
    </row>
    <row r="20" spans="1:6" x14ac:dyDescent="0.2">
      <c r="A20" t="s">
        <v>40</v>
      </c>
      <c r="B20">
        <v>179.17</v>
      </c>
      <c r="C20" t="s">
        <v>8</v>
      </c>
      <c r="D20">
        <v>27</v>
      </c>
      <c r="E20" s="3">
        <v>46080.404861111114</v>
      </c>
      <c r="F20">
        <f t="shared" si="0"/>
        <v>1</v>
      </c>
    </row>
    <row r="21" spans="1:6" x14ac:dyDescent="0.2">
      <c r="A21" t="s">
        <v>12</v>
      </c>
      <c r="B21">
        <v>185.81</v>
      </c>
      <c r="C21" t="s">
        <v>8</v>
      </c>
      <c r="D21">
        <v>28</v>
      </c>
      <c r="E21" s="3">
        <v>46080.412499999999</v>
      </c>
      <c r="F21">
        <f t="shared" si="0"/>
        <v>1</v>
      </c>
    </row>
    <row r="22" spans="1:6" x14ac:dyDescent="0.2">
      <c r="A22" t="s">
        <v>23</v>
      </c>
      <c r="B22">
        <v>176.32</v>
      </c>
      <c r="C22" t="s">
        <v>8</v>
      </c>
      <c r="D22">
        <v>26.57</v>
      </c>
      <c r="E22" s="3">
        <v>46080.416666666664</v>
      </c>
      <c r="F22">
        <f t="shared" si="0"/>
        <v>1</v>
      </c>
    </row>
    <row r="23" spans="1:6" x14ac:dyDescent="0.2">
      <c r="A23" t="s">
        <v>41</v>
      </c>
      <c r="B23">
        <v>179.24</v>
      </c>
      <c r="C23" t="s">
        <v>8</v>
      </c>
      <c r="D23">
        <v>27.01</v>
      </c>
      <c r="E23" s="3">
        <v>46080.420138888891</v>
      </c>
      <c r="F23">
        <f t="shared" si="0"/>
        <v>1</v>
      </c>
    </row>
    <row r="24" spans="1:6" x14ac:dyDescent="0.2">
      <c r="A24" t="s">
        <v>15</v>
      </c>
      <c r="B24">
        <v>144.93</v>
      </c>
      <c r="C24" t="s">
        <v>8</v>
      </c>
      <c r="D24">
        <v>21.84</v>
      </c>
      <c r="E24" s="3">
        <v>46080.42291666667</v>
      </c>
      <c r="F24">
        <f t="shared" si="0"/>
        <v>1</v>
      </c>
    </row>
    <row r="25" spans="1:6" x14ac:dyDescent="0.2">
      <c r="A25" t="s">
        <v>20</v>
      </c>
      <c r="B25">
        <v>145.99</v>
      </c>
      <c r="C25" t="s">
        <v>8</v>
      </c>
      <c r="D25">
        <v>22</v>
      </c>
      <c r="E25" s="3">
        <v>46080.444444444445</v>
      </c>
      <c r="F25">
        <f t="shared" si="0"/>
        <v>1</v>
      </c>
    </row>
    <row r="26" spans="1:6" x14ac:dyDescent="0.2">
      <c r="A26" t="s">
        <v>42</v>
      </c>
      <c r="B26">
        <v>113.61</v>
      </c>
      <c r="C26" t="s">
        <v>8</v>
      </c>
      <c r="D26">
        <v>17.12</v>
      </c>
      <c r="E26" s="3">
        <v>46080.446527777778</v>
      </c>
      <c r="F26">
        <f t="shared" si="0"/>
        <v>1</v>
      </c>
    </row>
    <row r="27" spans="1:6" x14ac:dyDescent="0.2">
      <c r="A27" t="s">
        <v>43</v>
      </c>
      <c r="B27">
        <v>202.53</v>
      </c>
      <c r="C27" t="s">
        <v>6</v>
      </c>
      <c r="D27">
        <v>31.73</v>
      </c>
      <c r="E27" s="3">
        <v>46080.447222222225</v>
      </c>
      <c r="F27">
        <f t="shared" si="0"/>
        <v>1</v>
      </c>
    </row>
    <row r="28" spans="1:6" x14ac:dyDescent="0.2">
      <c r="A28" t="s">
        <v>44</v>
      </c>
      <c r="B28">
        <v>280.27999999999997</v>
      </c>
      <c r="C28" t="s">
        <v>6</v>
      </c>
      <c r="D28">
        <v>43.91</v>
      </c>
      <c r="E28" s="3">
        <v>46080.50277777778</v>
      </c>
      <c r="F28">
        <f t="shared" si="0"/>
        <v>1</v>
      </c>
    </row>
    <row r="29" spans="1:6" x14ac:dyDescent="0.2">
      <c r="A29" t="s">
        <v>45</v>
      </c>
      <c r="B29">
        <v>275.43</v>
      </c>
      <c r="C29" t="s">
        <v>6</v>
      </c>
      <c r="D29">
        <v>43.15</v>
      </c>
      <c r="E29" s="3">
        <v>46080.504861111112</v>
      </c>
      <c r="F29">
        <f t="shared" si="0"/>
        <v>1</v>
      </c>
    </row>
    <row r="30" spans="1:6" x14ac:dyDescent="0.2">
      <c r="A30" t="s">
        <v>46</v>
      </c>
      <c r="B30">
        <v>236.94</v>
      </c>
      <c r="C30" t="s">
        <v>6</v>
      </c>
      <c r="D30">
        <v>37.119999999999997</v>
      </c>
      <c r="E30" s="3">
        <v>46080.506944444445</v>
      </c>
      <c r="F30">
        <f t="shared" si="0"/>
        <v>1</v>
      </c>
    </row>
    <row r="31" spans="1:6" x14ac:dyDescent="0.2">
      <c r="A31" t="s">
        <v>47</v>
      </c>
      <c r="B31">
        <v>234.77</v>
      </c>
      <c r="C31" t="s">
        <v>6</v>
      </c>
      <c r="D31">
        <v>36.78</v>
      </c>
      <c r="E31" s="3">
        <v>46080.523611111108</v>
      </c>
      <c r="F31">
        <f t="shared" si="0"/>
        <v>1</v>
      </c>
    </row>
    <row r="32" spans="1:6" x14ac:dyDescent="0.2">
      <c r="A32" t="s">
        <v>48</v>
      </c>
      <c r="B32">
        <v>288.51</v>
      </c>
      <c r="C32" t="s">
        <v>6</v>
      </c>
      <c r="D32">
        <v>45.2</v>
      </c>
      <c r="E32" s="3">
        <v>46080.525694444441</v>
      </c>
      <c r="F32">
        <f t="shared" si="0"/>
        <v>1</v>
      </c>
    </row>
    <row r="33" spans="1:6" x14ac:dyDescent="0.2">
      <c r="A33" t="s">
        <v>49</v>
      </c>
      <c r="B33">
        <v>236.17</v>
      </c>
      <c r="C33" t="s">
        <v>6</v>
      </c>
      <c r="D33">
        <v>37</v>
      </c>
      <c r="E33" s="3">
        <v>46080.52847222222</v>
      </c>
      <c r="F33">
        <f t="shared" si="0"/>
        <v>1</v>
      </c>
    </row>
    <row r="34" spans="1:6" x14ac:dyDescent="0.2">
      <c r="A34" t="s">
        <v>50</v>
      </c>
      <c r="B34">
        <v>14.6</v>
      </c>
      <c r="C34" t="s">
        <v>8</v>
      </c>
      <c r="D34">
        <v>2.2000000000000002</v>
      </c>
      <c r="E34" s="3">
        <v>46080.540277777778</v>
      </c>
      <c r="F34">
        <v>1</v>
      </c>
    </row>
    <row r="35" spans="1:6" x14ac:dyDescent="0.2">
      <c r="A35" t="s">
        <v>51</v>
      </c>
      <c r="B35">
        <v>248.49</v>
      </c>
      <c r="C35" t="s">
        <v>6</v>
      </c>
      <c r="D35">
        <v>38.93</v>
      </c>
      <c r="E35" s="3">
        <v>46080.545138888891</v>
      </c>
      <c r="F35">
        <f t="shared" si="0"/>
        <v>1</v>
      </c>
    </row>
    <row r="36" spans="1:6" x14ac:dyDescent="0.2">
      <c r="A36" t="s">
        <v>50</v>
      </c>
      <c r="B36">
        <v>232.26</v>
      </c>
      <c r="C36" t="s">
        <v>8</v>
      </c>
      <c r="D36">
        <v>35</v>
      </c>
      <c r="E36" s="3">
        <v>46080.54583333333</v>
      </c>
      <c r="F36">
        <v>1</v>
      </c>
    </row>
    <row r="37" spans="1:6" x14ac:dyDescent="0.2">
      <c r="A37" t="s">
        <v>17</v>
      </c>
      <c r="B37">
        <v>153.44999999999999</v>
      </c>
      <c r="C37" t="s">
        <v>6</v>
      </c>
      <c r="D37">
        <v>24.04</v>
      </c>
      <c r="E37" s="3">
        <v>46080.547222222223</v>
      </c>
      <c r="F37">
        <f t="shared" si="0"/>
        <v>1</v>
      </c>
    </row>
    <row r="38" spans="1:6" x14ac:dyDescent="0.2">
      <c r="A38" t="s">
        <v>19</v>
      </c>
      <c r="B38">
        <v>93.7</v>
      </c>
      <c r="C38" t="s">
        <v>8</v>
      </c>
      <c r="D38">
        <v>14.12</v>
      </c>
      <c r="E38" s="3">
        <v>46080.554861111108</v>
      </c>
      <c r="F38">
        <f t="shared" si="0"/>
        <v>1</v>
      </c>
    </row>
    <row r="39" spans="1:6" x14ac:dyDescent="0.2">
      <c r="A39" t="s">
        <v>52</v>
      </c>
      <c r="B39">
        <v>156.54</v>
      </c>
      <c r="C39" t="s">
        <v>8</v>
      </c>
      <c r="D39">
        <v>23.59</v>
      </c>
      <c r="E39" s="3">
        <v>46080.555555555555</v>
      </c>
      <c r="F39">
        <f t="shared" si="0"/>
        <v>1</v>
      </c>
    </row>
    <row r="40" spans="1:6" x14ac:dyDescent="0.2">
      <c r="A40" t="s">
        <v>22</v>
      </c>
      <c r="B40">
        <v>210.7</v>
      </c>
      <c r="C40" t="s">
        <v>6</v>
      </c>
      <c r="D40">
        <v>33.01</v>
      </c>
      <c r="E40" s="3">
        <v>46080.561111111114</v>
      </c>
      <c r="F40">
        <f t="shared" si="0"/>
        <v>1</v>
      </c>
    </row>
    <row r="41" spans="1:6" x14ac:dyDescent="0.2">
      <c r="A41" t="s">
        <v>53</v>
      </c>
      <c r="B41">
        <v>165.9</v>
      </c>
      <c r="C41" t="s">
        <v>8</v>
      </c>
      <c r="D41">
        <v>25</v>
      </c>
      <c r="E41" s="3">
        <v>46080.574999999997</v>
      </c>
      <c r="F41">
        <f t="shared" si="0"/>
        <v>1</v>
      </c>
    </row>
    <row r="42" spans="1:6" x14ac:dyDescent="0.2">
      <c r="A42" t="s">
        <v>54</v>
      </c>
      <c r="B42">
        <v>286.14999999999998</v>
      </c>
      <c r="C42" t="s">
        <v>6</v>
      </c>
      <c r="D42">
        <v>44.83</v>
      </c>
      <c r="E42" s="3">
        <v>46080.580555555556</v>
      </c>
      <c r="F42">
        <f t="shared" si="0"/>
        <v>1</v>
      </c>
    </row>
    <row r="43" spans="1:6" x14ac:dyDescent="0.2">
      <c r="A43" t="s">
        <v>55</v>
      </c>
      <c r="B43" s="4">
        <v>4920.3</v>
      </c>
      <c r="C43" t="s">
        <v>6</v>
      </c>
      <c r="D43">
        <v>770</v>
      </c>
      <c r="E43" s="3">
        <v>46080.600694444445</v>
      </c>
      <c r="F43">
        <f t="shared" si="0"/>
        <v>1</v>
      </c>
    </row>
    <row r="44" spans="1:6" x14ac:dyDescent="0.2">
      <c r="A44" t="s">
        <v>56</v>
      </c>
      <c r="B44">
        <v>86.27</v>
      </c>
      <c r="C44" t="s">
        <v>8</v>
      </c>
      <c r="D44">
        <v>13</v>
      </c>
      <c r="E44" s="3">
        <v>46080.602083333331</v>
      </c>
      <c r="F44">
        <f t="shared" si="0"/>
        <v>1</v>
      </c>
    </row>
    <row r="45" spans="1:6" x14ac:dyDescent="0.2">
      <c r="A45" t="s">
        <v>57</v>
      </c>
      <c r="B45">
        <v>197.23</v>
      </c>
      <c r="C45" t="s">
        <v>6</v>
      </c>
      <c r="D45">
        <v>30.9</v>
      </c>
      <c r="E45" s="3">
        <v>46080.602083333331</v>
      </c>
      <c r="F45">
        <f t="shared" si="0"/>
        <v>1</v>
      </c>
    </row>
    <row r="46" spans="1:6" x14ac:dyDescent="0.2">
      <c r="A46" t="s">
        <v>58</v>
      </c>
      <c r="B46">
        <v>266.04000000000002</v>
      </c>
      <c r="C46" t="s">
        <v>8</v>
      </c>
      <c r="D46">
        <v>40.090000000000003</v>
      </c>
      <c r="E46" s="3">
        <v>46080.609722222223</v>
      </c>
      <c r="F46">
        <f t="shared" si="0"/>
        <v>1</v>
      </c>
    </row>
    <row r="47" spans="1:6" x14ac:dyDescent="0.2">
      <c r="A47" t="s">
        <v>11</v>
      </c>
      <c r="B47">
        <v>132.72</v>
      </c>
      <c r="C47" t="s">
        <v>8</v>
      </c>
      <c r="D47">
        <v>20</v>
      </c>
      <c r="E47" s="3">
        <v>46080.648611111108</v>
      </c>
      <c r="F47">
        <f t="shared" si="0"/>
        <v>1</v>
      </c>
    </row>
    <row r="48" spans="1:6" x14ac:dyDescent="0.2">
      <c r="A48" t="s">
        <v>59</v>
      </c>
      <c r="B48">
        <v>215.8</v>
      </c>
      <c r="C48" t="s">
        <v>8</v>
      </c>
      <c r="D48">
        <v>32.520000000000003</v>
      </c>
      <c r="E48" s="3">
        <v>46080.650694444441</v>
      </c>
      <c r="F48">
        <f t="shared" si="0"/>
        <v>1</v>
      </c>
    </row>
    <row r="49" spans="1:6" x14ac:dyDescent="0.2">
      <c r="A49" t="s">
        <v>60</v>
      </c>
      <c r="B49">
        <v>179.17</v>
      </c>
      <c r="C49" t="s">
        <v>8</v>
      </c>
      <c r="D49">
        <v>27</v>
      </c>
      <c r="E49" s="3">
        <v>46080.655555555553</v>
      </c>
      <c r="F49">
        <f t="shared" si="0"/>
        <v>1</v>
      </c>
    </row>
    <row r="50" spans="1:6" x14ac:dyDescent="0.2">
      <c r="A50" t="s">
        <v>18</v>
      </c>
      <c r="B50">
        <v>232.26</v>
      </c>
      <c r="C50" t="s">
        <v>8</v>
      </c>
      <c r="D50">
        <v>35</v>
      </c>
      <c r="E50" s="3">
        <v>46080.660416666666</v>
      </c>
      <c r="F50">
        <f t="shared" si="0"/>
        <v>1</v>
      </c>
    </row>
    <row r="51" spans="1:6" x14ac:dyDescent="0.2">
      <c r="A51" t="s">
        <v>61</v>
      </c>
      <c r="B51">
        <v>179.17</v>
      </c>
      <c r="C51" t="s">
        <v>8</v>
      </c>
      <c r="D51">
        <v>27</v>
      </c>
      <c r="E51" s="3">
        <v>46080.668055555558</v>
      </c>
      <c r="F51">
        <f t="shared" si="0"/>
        <v>1</v>
      </c>
    </row>
    <row r="52" spans="1:6" x14ac:dyDescent="0.2">
      <c r="A52" t="s">
        <v>62</v>
      </c>
      <c r="B52">
        <v>160.15</v>
      </c>
      <c r="C52" t="s">
        <v>6</v>
      </c>
      <c r="D52">
        <v>25.09</v>
      </c>
      <c r="E52" s="3">
        <v>46080.670138888891</v>
      </c>
      <c r="F52">
        <f t="shared" si="0"/>
        <v>1</v>
      </c>
    </row>
    <row r="53" spans="1:6" x14ac:dyDescent="0.2">
      <c r="A53" t="s">
        <v>63</v>
      </c>
      <c r="B53">
        <v>262.60000000000002</v>
      </c>
      <c r="C53" t="s">
        <v>6</v>
      </c>
      <c r="D53">
        <v>41.14</v>
      </c>
      <c r="E53" s="3">
        <v>46080.673611111109</v>
      </c>
      <c r="F53">
        <f t="shared" si="0"/>
        <v>1</v>
      </c>
    </row>
    <row r="54" spans="1:6" x14ac:dyDescent="0.2">
      <c r="A54" t="s">
        <v>64</v>
      </c>
      <c r="B54">
        <v>178.44</v>
      </c>
      <c r="C54" t="s">
        <v>8</v>
      </c>
      <c r="D54">
        <v>26.89</v>
      </c>
      <c r="E54" s="3">
        <v>46080.679166666669</v>
      </c>
      <c r="F54">
        <f t="shared" si="0"/>
        <v>1</v>
      </c>
    </row>
    <row r="55" spans="1:6" x14ac:dyDescent="0.2">
      <c r="A55" t="s">
        <v>21</v>
      </c>
      <c r="B55">
        <v>159.26</v>
      </c>
      <c r="C55" t="s">
        <v>8</v>
      </c>
      <c r="D55">
        <v>24</v>
      </c>
      <c r="E55" s="3">
        <v>46080.686805555553</v>
      </c>
      <c r="F55">
        <f t="shared" si="0"/>
        <v>1</v>
      </c>
    </row>
    <row r="56" spans="1:6" x14ac:dyDescent="0.2">
      <c r="A56" t="s">
        <v>24</v>
      </c>
      <c r="B56">
        <v>166.02</v>
      </c>
      <c r="C56" t="s">
        <v>6</v>
      </c>
      <c r="D56">
        <v>26.01</v>
      </c>
      <c r="E56" s="3">
        <v>46080.697222222225</v>
      </c>
      <c r="F56">
        <f t="shared" si="0"/>
        <v>1</v>
      </c>
    </row>
    <row r="57" spans="1:6" x14ac:dyDescent="0.2">
      <c r="A57" t="s">
        <v>65</v>
      </c>
      <c r="B57">
        <v>141.88</v>
      </c>
      <c r="C57" t="s">
        <v>8</v>
      </c>
      <c r="D57">
        <v>21.38</v>
      </c>
      <c r="E57" s="3">
        <v>46080.698611111111</v>
      </c>
      <c r="F57">
        <f t="shared" si="0"/>
        <v>1</v>
      </c>
    </row>
    <row r="58" spans="1:6" x14ac:dyDescent="0.2">
      <c r="A58" t="s">
        <v>66</v>
      </c>
      <c r="B58">
        <v>201.93</v>
      </c>
      <c r="C58" t="s">
        <v>8</v>
      </c>
      <c r="D58">
        <v>30.43</v>
      </c>
      <c r="E58" s="3">
        <v>46080.700694444444</v>
      </c>
      <c r="F58">
        <f t="shared" si="0"/>
        <v>1</v>
      </c>
    </row>
    <row r="59" spans="1:6" x14ac:dyDescent="0.2">
      <c r="A59" t="s">
        <v>67</v>
      </c>
      <c r="B59">
        <v>288.58</v>
      </c>
      <c r="C59" t="s">
        <v>8</v>
      </c>
      <c r="D59">
        <v>43.79</v>
      </c>
      <c r="E59" s="3">
        <v>46080.711111111108</v>
      </c>
      <c r="F59">
        <f t="shared" si="0"/>
        <v>1</v>
      </c>
    </row>
    <row r="60" spans="1:6" x14ac:dyDescent="0.2">
      <c r="A60" t="s">
        <v>68</v>
      </c>
      <c r="B60">
        <v>232.26</v>
      </c>
      <c r="C60" t="s">
        <v>8</v>
      </c>
      <c r="D60">
        <v>35</v>
      </c>
      <c r="E60" s="3">
        <v>46080.716666666667</v>
      </c>
      <c r="F60">
        <f t="shared" si="0"/>
        <v>1</v>
      </c>
    </row>
    <row r="61" spans="1:6" x14ac:dyDescent="0.2">
      <c r="A61" t="s">
        <v>69</v>
      </c>
      <c r="B61">
        <v>79.63</v>
      </c>
      <c r="C61" t="s">
        <v>8</v>
      </c>
      <c r="D61">
        <v>12</v>
      </c>
      <c r="E61" s="3">
        <v>46080.718055555553</v>
      </c>
      <c r="F61">
        <f t="shared" si="0"/>
        <v>1</v>
      </c>
    </row>
    <row r="62" spans="1:6" x14ac:dyDescent="0.2">
      <c r="A62" t="s">
        <v>70</v>
      </c>
      <c r="B62">
        <v>279.45</v>
      </c>
      <c r="C62" t="s">
        <v>6</v>
      </c>
      <c r="D62">
        <v>43.78</v>
      </c>
      <c r="E62" s="3">
        <v>46080.723611111112</v>
      </c>
      <c r="F62">
        <f t="shared" si="0"/>
        <v>1</v>
      </c>
    </row>
    <row r="63" spans="1:6" x14ac:dyDescent="0.2">
      <c r="A63" t="s">
        <v>71</v>
      </c>
      <c r="B63">
        <v>204.26</v>
      </c>
      <c r="C63" t="s">
        <v>6</v>
      </c>
      <c r="D63">
        <v>32</v>
      </c>
      <c r="E63" s="3">
        <v>46080.725694444445</v>
      </c>
      <c r="F63">
        <f t="shared" si="0"/>
        <v>1</v>
      </c>
    </row>
    <row r="64" spans="1:6" x14ac:dyDescent="0.2">
      <c r="A64" t="s">
        <v>16</v>
      </c>
      <c r="B64">
        <v>144.4</v>
      </c>
      <c r="C64" t="s">
        <v>8</v>
      </c>
      <c r="D64">
        <v>21.76</v>
      </c>
      <c r="E64" s="3">
        <v>46080.739583333336</v>
      </c>
      <c r="F64">
        <f t="shared" si="0"/>
        <v>1</v>
      </c>
    </row>
    <row r="65" spans="1:6" x14ac:dyDescent="0.2">
      <c r="A65" t="s">
        <v>72</v>
      </c>
      <c r="B65">
        <v>170.68</v>
      </c>
      <c r="C65" t="s">
        <v>8</v>
      </c>
      <c r="D65">
        <v>25.9</v>
      </c>
      <c r="E65" s="3">
        <v>46080.8125</v>
      </c>
      <c r="F65">
        <f t="shared" si="0"/>
        <v>1</v>
      </c>
    </row>
    <row r="66" spans="1:6" x14ac:dyDescent="0.2">
      <c r="A66" t="s">
        <v>26</v>
      </c>
      <c r="B66">
        <v>149.77000000000001</v>
      </c>
      <c r="C66" t="s">
        <v>8</v>
      </c>
      <c r="D66">
        <v>22.57</v>
      </c>
      <c r="E66" s="3">
        <v>46080.818055555559</v>
      </c>
      <c r="F66">
        <f t="shared" ref="F66:F69" si="1">COUNTIF(A:A,A66)</f>
        <v>1</v>
      </c>
    </row>
    <row r="67" spans="1:6" x14ac:dyDescent="0.2">
      <c r="A67" t="s">
        <v>73</v>
      </c>
      <c r="B67">
        <v>179.17</v>
      </c>
      <c r="C67" t="s">
        <v>8</v>
      </c>
      <c r="D67">
        <v>27</v>
      </c>
      <c r="E67" s="3">
        <v>46080.869444444441</v>
      </c>
      <c r="F67">
        <f t="shared" si="1"/>
        <v>1</v>
      </c>
    </row>
    <row r="68" spans="1:6" x14ac:dyDescent="0.2">
      <c r="A68" t="s">
        <v>74</v>
      </c>
      <c r="B68">
        <v>241.35</v>
      </c>
      <c r="C68" t="s">
        <v>8</v>
      </c>
      <c r="D68">
        <v>36.369999999999997</v>
      </c>
      <c r="E68" s="3">
        <v>46080.870833333334</v>
      </c>
      <c r="F68">
        <f t="shared" si="1"/>
        <v>1</v>
      </c>
    </row>
    <row r="69" spans="1:6" x14ac:dyDescent="0.2">
      <c r="A69" t="s">
        <v>75</v>
      </c>
      <c r="B69">
        <v>364.92</v>
      </c>
      <c r="C69" t="s">
        <v>6</v>
      </c>
      <c r="D69">
        <v>57.17</v>
      </c>
      <c r="E69" s="3">
        <v>46080.875</v>
      </c>
      <c r="F69">
        <f t="shared" si="1"/>
        <v>1</v>
      </c>
    </row>
    <row r="70" spans="1:6" x14ac:dyDescent="0.2">
      <c r="A70" t="s">
        <v>29</v>
      </c>
      <c r="B70">
        <v>33.19</v>
      </c>
      <c r="C70" t="s">
        <v>6</v>
      </c>
      <c r="D70">
        <v>5.2</v>
      </c>
      <c r="E70" s="3">
        <v>46080.96875</v>
      </c>
      <c r="F70">
        <v>1</v>
      </c>
    </row>
  </sheetData>
  <autoFilter ref="A1:F70" xr:uid="{0D69000C-1746-4E7A-A2F5-05B89EF61CE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99B9-2D8F-4619-B669-AC65BF8A6FA5}">
  <dimension ref="A1:H6"/>
  <sheetViews>
    <sheetView tabSelected="1" workbookViewId="0">
      <selection activeCell="B5" sqref="B5"/>
    </sheetView>
  </sheetViews>
  <sheetFormatPr defaultRowHeight="12.75" x14ac:dyDescent="0.2"/>
  <cols>
    <col min="1" max="1" width="9.5703125" bestFit="1" customWidth="1"/>
    <col min="2" max="2" width="7" bestFit="1" customWidth="1"/>
    <col min="3" max="3" width="3.7109375" bestFit="1" customWidth="1"/>
    <col min="4" max="4" width="6" bestFit="1" customWidth="1"/>
    <col min="5" max="5" width="10.5703125" bestFit="1" customWidth="1"/>
    <col min="6" max="6" width="7.85546875" bestFit="1" customWidth="1"/>
    <col min="7" max="7" width="45.28515625" bestFit="1" customWidth="1"/>
    <col min="8" max="8" width="14.5703125" bestFit="1" customWidth="1"/>
  </cols>
  <sheetData>
    <row r="1" spans="1:8" ht="14.25" x14ac:dyDescent="0.2">
      <c r="A1" t="s">
        <v>50</v>
      </c>
      <c r="B1">
        <v>232.26</v>
      </c>
      <c r="C1" t="str">
        <f>VLOOKUP(A1,'2702'!A:G,3,)</f>
        <v>GC</v>
      </c>
      <c r="D1">
        <f>VLOOKUP(A1,'2702'!A:G,4,FALSE)</f>
        <v>2.2000000000000002</v>
      </c>
      <c r="E1" s="6">
        <f>D1*6.59</f>
        <v>14.498000000000001</v>
      </c>
      <c r="F1" s="7">
        <v>14.5</v>
      </c>
      <c r="G1" s="7" t="s">
        <v>76</v>
      </c>
      <c r="H1" s="7" t="s">
        <v>77</v>
      </c>
    </row>
    <row r="2" spans="1:8" ht="14.25" x14ac:dyDescent="0.2">
      <c r="A2" t="s">
        <v>72</v>
      </c>
      <c r="B2">
        <v>170.68</v>
      </c>
      <c r="C2" t="str">
        <f>VLOOKUP(A2,'2702'!A:G,3,)</f>
        <v>GC</v>
      </c>
      <c r="D2">
        <f>VLOOKUP(A2,'2702'!A:G,4,FALSE)</f>
        <v>25.9</v>
      </c>
      <c r="E2" s="6">
        <f>D2*6.59</f>
        <v>170.68099999999998</v>
      </c>
      <c r="F2" s="8">
        <v>170.72</v>
      </c>
      <c r="G2" s="8" t="s">
        <v>78</v>
      </c>
      <c r="H2" s="8" t="s">
        <v>79</v>
      </c>
    </row>
    <row r="3" spans="1:8" ht="14.25" x14ac:dyDescent="0.2">
      <c r="A3" t="s">
        <v>37</v>
      </c>
      <c r="B3">
        <v>199.08</v>
      </c>
      <c r="C3" t="str">
        <f>VLOOKUP(A3,'2702'!A:G,3,)</f>
        <v>GC</v>
      </c>
      <c r="D3">
        <f>VLOOKUP(A3,'2702'!A:G,4,FALSE)</f>
        <v>30</v>
      </c>
      <c r="E3" s="6">
        <f>D3*6.59</f>
        <v>197.7</v>
      </c>
      <c r="F3" s="9">
        <v>197.7</v>
      </c>
      <c r="G3" s="9" t="s">
        <v>80</v>
      </c>
      <c r="H3" s="9" t="s">
        <v>77</v>
      </c>
    </row>
    <row r="4" spans="1:8" ht="14.25" x14ac:dyDescent="0.2">
      <c r="A4" t="s">
        <v>34</v>
      </c>
      <c r="B4">
        <v>265.44</v>
      </c>
      <c r="C4" t="str">
        <f>VLOOKUP(A4,'2702'!A:G,3,)</f>
        <v>GC</v>
      </c>
      <c r="D4">
        <f>VLOOKUP(A4,'2702'!A:G,4,FALSE)</f>
        <v>40</v>
      </c>
      <c r="E4" s="6">
        <f>D4*6.59</f>
        <v>263.60000000000002</v>
      </c>
      <c r="F4" s="10">
        <v>263.60000000000002</v>
      </c>
      <c r="G4" s="10" t="s">
        <v>80</v>
      </c>
      <c r="H4" s="10" t="s">
        <v>77</v>
      </c>
    </row>
    <row r="5" spans="1:8" ht="14.25" x14ac:dyDescent="0.2">
      <c r="A5" t="s">
        <v>58</v>
      </c>
      <c r="B5">
        <v>266.04000000000002</v>
      </c>
      <c r="C5" t="str">
        <f>VLOOKUP(A5,'2702'!A:G,3,)</f>
        <v>GC</v>
      </c>
      <c r="D5">
        <f>VLOOKUP(A5,'2702'!A:G,4,FALSE)</f>
        <v>40.090000000000003</v>
      </c>
      <c r="E5" s="6">
        <f>D5*6.59</f>
        <v>264.19310000000002</v>
      </c>
      <c r="F5" s="11">
        <v>264.17</v>
      </c>
      <c r="G5" s="11" t="s">
        <v>81</v>
      </c>
      <c r="H5" s="11" t="s">
        <v>77</v>
      </c>
    </row>
    <row r="6" spans="1:8" ht="14.25" x14ac:dyDescent="0.2">
      <c r="A6" t="s">
        <v>44</v>
      </c>
      <c r="B6">
        <v>280.27999999999997</v>
      </c>
      <c r="C6" t="str">
        <f>VLOOKUP(A6,'2702'!A:G,3,)</f>
        <v>D1</v>
      </c>
      <c r="D6">
        <f>VLOOKUP(A6,'2702'!A:G,4,FALSE)</f>
        <v>43.91</v>
      </c>
      <c r="E6" s="6">
        <f>D6*6.39</f>
        <v>280.58489999999995</v>
      </c>
      <c r="F6" s="12">
        <v>280.55</v>
      </c>
      <c r="G6" s="12" t="s">
        <v>81</v>
      </c>
      <c r="H6" s="12" t="s">
        <v>77</v>
      </c>
    </row>
  </sheetData>
  <sortState xmlns:xlrd2="http://schemas.microsoft.com/office/spreadsheetml/2017/richdata2" ref="A1:E6">
    <sortCondition ref="E5:E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para Automatizar</vt:lpstr>
      <vt:lpstr>2702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Eduarda</dc:creator>
  <dc:description/>
  <cp:lastModifiedBy>POSTO NH</cp:lastModifiedBy>
  <cp:revision>1</cp:revision>
  <cp:lastPrinted>2025-07-17T16:37:38Z</cp:lastPrinted>
  <dcterms:created xsi:type="dcterms:W3CDTF">2025-02-01T17:17:36Z</dcterms:created>
  <dcterms:modified xsi:type="dcterms:W3CDTF">2026-02-28T12:47:36Z</dcterms:modified>
  <dc:language>pt-BR</dc:language>
</cp:coreProperties>
</file>